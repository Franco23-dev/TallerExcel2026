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7.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fjdve\OneDrive\Escritorio\Universidad\Curso Excel\TPI\"/>
    </mc:Choice>
  </mc:AlternateContent>
  <xr:revisionPtr revIDLastSave="0" documentId="13_ncr:1_{48F895C1-7987-41CA-AECE-37D3D5B8AEEF}" xr6:coauthVersionLast="47" xr6:coauthVersionMax="47" xr10:uidLastSave="{00000000-0000-0000-0000-000000000000}"/>
  <bookViews>
    <workbookView xWindow="-108" yWindow="-108" windowWidth="23256" windowHeight="12456" activeTab="4" xr2:uid="{0CA78D1D-0E36-4014-A326-8F14A222A9CD}"/>
  </bookViews>
  <sheets>
    <sheet name="Ventas_Brutas" sheetId="1" r:id="rId1"/>
    <sheet name="Maestro_Productos" sheetId="2" r:id="rId2"/>
    <sheet name="Funciones" sheetId="3" r:id="rId3"/>
    <sheet name="Tablas_dinamicas" sheetId="4" r:id="rId4"/>
    <sheet name="Dashboard" sheetId="6" r:id="rId5"/>
  </sheets>
  <definedNames>
    <definedName name="_xlcn.WorksheetConnection_APELLIDO_NOMBRE_TPIcopia.xlsxTabla11" hidden="1">Tabla1[]</definedName>
    <definedName name="_xlcn.WorksheetConnection_APELLIDO_NOMBRE_TPIcopia.xlsxTabla21" hidden="1">Tabla2[]</definedName>
    <definedName name="SegmentaciónDeDatos_ID_Producto">#N/A</definedName>
    <definedName name="SegmentaciónDeDatos_Vendedor">#N/A</definedName>
    <definedName name="Timeline_Fecha">#N/A</definedName>
  </definedNames>
  <calcPr calcId="191029"/>
  <pivotCaches>
    <pivotCache cacheId="261" r:id="rId6"/>
    <pivotCache cacheId="1860" r:id="rId7"/>
    <pivotCache cacheId="1863" r:id="rId8"/>
    <pivotCache cacheId="1866" r:id="rId9"/>
    <pivotCache cacheId="1869" r:id="rId10"/>
  </pivotCaches>
  <extLst>
    <ext xmlns:x14="http://schemas.microsoft.com/office/spreadsheetml/2009/9/main" uri="{876F7934-8845-4945-9796-88D515C7AA90}">
      <x14:pivotCaches>
        <pivotCache cacheId="210"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97" r:id="rId14"/>
      </x15:timelineCachePivotCaches>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a1" name="Tabla1" connection="WorksheetConnection_APELLIDO_NOMBRE_TPI - copia.xlsx!Tabla1"/>
          <x15:modelTable id="Tabla2" name="Tabla2" connection="WorksheetConnection_APELLIDO_NOMBRE_TPI - copia.xlsx!Tabla2"/>
        </x15:modelTables>
        <x15:modelRelationships>
          <x15:modelRelationship fromTable="Tabla1" fromColumn="ID_Producto" toTable="Tabla2" toColumn="ID_Producto"/>
        </x15:modelRelationships>
        <x15:extLst>
          <ext xmlns:x16="http://schemas.microsoft.com/office/spreadsheetml/2014/11/main" uri="{9835A34E-60A6-4A7C-AAB8-D5F71C897F49}">
            <x16:modelTimeGroupings>
              <x16:modelTimeGrouping tableName="Tabla1" columnName="Fecha" columnId="Fecha">
                <x16:calculatedTimeColumn columnName="Fecha (índice de meses)" columnId="Fecha (índice de meses)" contentType="monthsindex" isSelected="1"/>
                <x16:calculatedTimeColumn columnName="Fecha (mes)" columnId="Fecha (me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 i="1" l="1"/>
  <c r="E3" i="1"/>
  <c r="E4" i="1"/>
  <c r="E5" i="1"/>
  <c r="E6" i="1"/>
  <c r="E7" i="1"/>
  <c r="E8" i="1"/>
  <c r="E9" i="1"/>
  <c r="E10" i="1"/>
  <c r="E11" i="1"/>
  <c r="E12" i="1"/>
  <c r="E13" i="1"/>
  <c r="E14" i="1"/>
  <c r="H14" i="1" s="1" a="1"/>
  <c r="H14" i="1" s="1"/>
  <c r="E15" i="1"/>
  <c r="E16" i="1"/>
  <c r="E17" i="1"/>
  <c r="E18" i="1"/>
  <c r="E19" i="1"/>
  <c r="E20" i="1"/>
  <c r="E21" i="1"/>
  <c r="E22" i="1"/>
  <c r="E23" i="1"/>
  <c r="E24" i="1"/>
  <c r="E25" i="1"/>
  <c r="E26" i="1"/>
  <c r="E27" i="1"/>
  <c r="E28" i="1"/>
  <c r="E29" i="1"/>
  <c r="E30" i="1"/>
  <c r="E31" i="1"/>
  <c r="E32" i="1"/>
  <c r="E33" i="1"/>
  <c r="E34" i="1"/>
  <c r="E35"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H19" i="1" a="1"/>
  <c r="H19" i="1" s="1"/>
  <c r="J10" i="4"/>
  <c r="J11" i="4" l="1"/>
  <c r="H5" i="1" a="1"/>
  <c r="H5" i="1" s="1"/>
  <c r="H7" i="1" a="1"/>
  <c r="H7" i="1" s="1"/>
  <c r="H20" i="1" a="1"/>
  <c r="H20" i="1" s="1"/>
  <c r="H6" i="1" a="1"/>
  <c r="H6" i="1" s="1"/>
  <c r="H30" i="1" a="1"/>
  <c r="H30" i="1" s="1"/>
  <c r="H33" i="1" a="1"/>
  <c r="H33" i="1" s="1"/>
  <c r="H24" i="1" a="1"/>
  <c r="H24" i="1" s="1"/>
  <c r="H23" i="1" a="1"/>
  <c r="H23" i="1" s="1"/>
  <c r="H17" i="1" a="1"/>
  <c r="H17" i="1" s="1"/>
  <c r="H16" i="1" a="1"/>
  <c r="H16" i="1" s="1"/>
  <c r="H10" i="1" a="1"/>
  <c r="H10" i="1" s="1"/>
  <c r="H8" i="1" a="1"/>
  <c r="H8" i="1" s="1"/>
  <c r="H27" i="1" a="1"/>
  <c r="H27" i="1" s="1"/>
  <c r="H22" i="1" a="1"/>
  <c r="H22" i="1" s="1"/>
  <c r="H29" i="1" a="1"/>
  <c r="H29" i="1" s="1"/>
  <c r="H34" i="1" a="1"/>
  <c r="H34" i="1" s="1"/>
  <c r="H18" i="1" a="1"/>
  <c r="H18" i="1" s="1"/>
  <c r="H9" i="1" a="1"/>
  <c r="H9" i="1" s="1"/>
  <c r="H4" i="1" a="1"/>
  <c r="H4" i="1" s="1"/>
  <c r="H31" i="1" a="1"/>
  <c r="H31" i="1" s="1"/>
  <c r="H26" i="1" a="1"/>
  <c r="H26" i="1" s="1"/>
  <c r="H3" i="1" a="1"/>
  <c r="H3" i="1" s="1"/>
  <c r="H13" i="1" a="1"/>
  <c r="H13" i="1" s="1"/>
  <c r="H25" i="1" a="1"/>
  <c r="H25" i="1" s="1"/>
  <c r="H12" i="1" a="1"/>
  <c r="H12" i="1" s="1"/>
  <c r="H28" i="1" a="1"/>
  <c r="H28" i="1" s="1"/>
  <c r="H11" i="1" a="1"/>
  <c r="H11" i="1" s="1"/>
  <c r="H15" i="1" a="1"/>
  <c r="H15" i="1" s="1"/>
  <c r="H35" i="1" a="1"/>
  <c r="H35" i="1" s="1"/>
  <c r="H2" i="1" a="1"/>
  <c r="H2" i="1" s="1"/>
  <c r="H21" i="1" a="1"/>
  <c r="H21" i="1" s="1"/>
  <c r="H32" i="1" a="1"/>
  <c r="H3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1EBF31-76B2-47CD-98D6-9D982B50F238}"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BA30323-C76F-45AF-8C42-8861C1B6E3F4}" name="WorksheetConnection_APELLIDO_NOMBRE_TPI - copia.xlsx!Tabla1" type="102" refreshedVersion="8" minRefreshableVersion="5">
    <extLst>
      <ext xmlns:x15="http://schemas.microsoft.com/office/spreadsheetml/2010/11/main" uri="{DE250136-89BD-433C-8126-D09CA5730AF9}">
        <x15:connection id="Tabla1" autoDelete="1">
          <x15:rangePr sourceName="_xlcn.WorksheetConnection_APELLIDO_NOMBRE_TPIcopia.xlsxTabla11"/>
        </x15:connection>
      </ext>
    </extLst>
  </connection>
  <connection id="3" xr16:uid="{8A207CC8-49E6-468A-A99C-EE6DD7A81B04}" name="WorksheetConnection_APELLIDO_NOMBRE_TPI - copia.xlsx!Tabla2" type="102" refreshedVersion="8" minRefreshableVersion="5">
    <extLst>
      <ext xmlns:x15="http://schemas.microsoft.com/office/spreadsheetml/2010/11/main" uri="{DE250136-89BD-433C-8126-D09CA5730AF9}">
        <x15:connection id="Tabla2">
          <x15:rangePr sourceName="_xlcn.WorksheetConnection_APELLIDO_NOMBRE_TPIcopia.xlsxTabla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<sst xmlns="http://schemas.openxmlformats.org/spreadsheetml/2006/main" count="281" uniqueCount="119">
  <si>
    <t>Fecha</t>
  </si>
  <si>
    <t>Vendedor</t>
  </si>
  <si>
    <t>Región</t>
  </si>
  <si>
    <t>Producto</t>
  </si>
  <si>
    <t>Precio_Unitario</t>
  </si>
  <si>
    <t>Norte</t>
  </si>
  <si>
    <t>Este</t>
  </si>
  <si>
    <t>Sur</t>
  </si>
  <si>
    <t>BuscarX | BuscarB| BuscarH</t>
  </si>
  <si>
    <t>ESPACIOS</t>
  </si>
  <si>
    <t>NOMPROPIO</t>
  </si>
  <si>
    <t>SI</t>
  </si>
  <si>
    <t>SI.CONJUNTO</t>
  </si>
  <si>
    <t>SUMAR.SI</t>
  </si>
  <si>
    <t>CONTAR.SI</t>
  </si>
  <si>
    <t>SI.ERROR</t>
  </si>
  <si>
    <t>FILTRAR</t>
  </si>
  <si>
    <t>UNICOS</t>
  </si>
  <si>
    <t>ORDENAR</t>
  </si>
  <si>
    <t>INDICE + COINCIDIR</t>
  </si>
  <si>
    <t>SUMAR.SI.CONJUNTO</t>
  </si>
  <si>
    <t>TABLAS (ctrl+T)</t>
  </si>
  <si>
    <t>TEXTOANTES</t>
  </si>
  <si>
    <t>TEXTODESPUES</t>
  </si>
  <si>
    <t>DIVIDIRTEXTO</t>
  </si>
  <si>
    <t>FORMATO CONDICIONAL</t>
  </si>
  <si>
    <t>Quitar duplicados -&gt; Datos -&gt; Quitar duplicados</t>
  </si>
  <si>
    <t>Texto en Columnas</t>
  </si>
  <si>
    <t>Validación de Datos -&gt;Columna Fecha -&gt; Datos -&gt; Validación de datos -&gt; &lt;eligen campo&gt; y &lt;asignan funcion, valor a comparar o lista de valores&gt;</t>
  </si>
  <si>
    <t>Tablas dinámicas</t>
  </si>
  <si>
    <t xml:space="preserve">Inidicadores básicos </t>
  </si>
  <si>
    <t>Segmentadores y Escala de tiempo</t>
  </si>
  <si>
    <t>Graficos dinámicos</t>
  </si>
  <si>
    <t>Dashboard</t>
  </si>
  <si>
    <t>Minigráficos -&gt; Pegar como imagen vinculada al tablero para que no quede fijo</t>
  </si>
  <si>
    <t>Macros</t>
  </si>
  <si>
    <t>VBA</t>
  </si>
  <si>
    <t>Botones a macros o procedimientos VBA</t>
  </si>
  <si>
    <t>Conexiones de segmentadores</t>
  </si>
  <si>
    <t>RECORDATORIO</t>
  </si>
  <si>
    <t>ID_Producto</t>
  </si>
  <si>
    <t>PROD01</t>
  </si>
  <si>
    <t>Laptop Tech</t>
  </si>
  <si>
    <t>PROD02</t>
  </si>
  <si>
    <t>Monitor 24</t>
  </si>
  <si>
    <t>PROD03</t>
  </si>
  <si>
    <t>Silla Ergonómica</t>
  </si>
  <si>
    <t>PROD04</t>
  </si>
  <si>
    <t>Escritorio L</t>
  </si>
  <si>
    <t>Categoria</t>
  </si>
  <si>
    <t>Tecnología</t>
  </si>
  <si>
    <t>Oficina</t>
  </si>
  <si>
    <t>PROD05</t>
  </si>
  <si>
    <t>Auriculares Bluetooth</t>
  </si>
  <si>
    <t>Audio</t>
  </si>
  <si>
    <t>PROD06</t>
  </si>
  <si>
    <t>Teclado Mecánico</t>
  </si>
  <si>
    <t>ID_Cliente</t>
  </si>
  <si>
    <t>Cantidad</t>
  </si>
  <si>
    <t>Monto_Total</t>
  </si>
  <si>
    <t>CLI101</t>
  </si>
  <si>
    <t>Carlos</t>
  </si>
  <si>
    <t>CLI102</t>
  </si>
  <si>
    <t>Ana</t>
  </si>
  <si>
    <t>CLI103</t>
  </si>
  <si>
    <t>PROD99</t>
  </si>
  <si>
    <t>Marta</t>
  </si>
  <si>
    <t>CLI104</t>
  </si>
  <si>
    <t>CLI105</t>
  </si>
  <si>
    <t>CLI106</t>
  </si>
  <si>
    <t>CLI107</t>
  </si>
  <si>
    <t>1) Limpieza: Campo Fecha y Calcular correctamente el Monto de la venta utilizando los valores dela tabla productos maestros, usndo un mensaje de "Revisar Catálogo" si ocurre algun error</t>
  </si>
  <si>
    <t>2) Crear columna "Categoria de cliente": Si el cliente compró más de $10.000 es "Premium", entre $5.000 y $10.000 es "Regular", y menos de $5.000 es "Minorista".</t>
  </si>
  <si>
    <t>3) Aplicar un formato condicional con fórmulas para que se pinte toda la fila de color rojo si la venta fue una "Devolución" (Venta &lt; 0) y el cliente es "Premium".</t>
  </si>
  <si>
    <t>Parte 1: Limpieza, Lógica y Cruce</t>
  </si>
  <si>
    <t>Parte 2: Análisis con Tablas Dinámicas</t>
  </si>
  <si>
    <t>1) Crear una tabla dinámica que muestre las ventas y agrupar las fechas por Trimestres y Meses.</t>
  </si>
  <si>
    <t xml:space="preserve">3) Agregar un filtro de productos </t>
  </si>
  <si>
    <t>Parte 3: Dashboard Interactivo</t>
  </si>
  <si>
    <t>1) El Dashboard debe tener 3 gráficos distintos (Tendencia mensual, Participación por categoría y Top 5 productos). Deben insertar Segmentadores de Datos y Fechas y usar la opción "Conexiones de informes" para que un solo clic en el segmentador filtre los 3 gráficos a la vez.</t>
  </si>
  <si>
    <t>Fase 4: Automatización y VBA</t>
  </si>
  <si>
    <t>1) Grabar una macro que automatice tareas de diseño y que se vincule a un botón. Al presionar un botón "Formatear Reporte", la macro debe: seleccionar la base de datos, aplicar un diseño de tabla específico, centrar los textos y aplicar formato Moneda a los totales</t>
  </si>
  <si>
    <t xml:space="preserve">2) Grabar una macro que automatice la limpieza de los filtros del dashboard y que esté vinculada a un botón. </t>
  </si>
  <si>
    <t>b. Pegue ese nombre en la celda A1 del Dashboard.</t>
  </si>
  <si>
    <r>
      <t xml:space="preserve">c. guarde el archivo automáticamente </t>
    </r>
    <r>
      <rPr>
        <i/>
        <sz val="11"/>
        <color theme="1"/>
        <rFont val="Aptos Narrow"/>
        <family val="2"/>
        <scheme val="minor"/>
      </rPr>
      <t>ActiveWorkbook.Save</t>
    </r>
    <r>
      <rPr>
        <sz val="11"/>
        <color theme="1"/>
        <rFont val="Aptos Narrow"/>
        <family val="2"/>
        <scheme val="minor"/>
      </rPr>
      <t xml:space="preserve"> y lance un MsgBox que diga: </t>
    </r>
    <r>
      <rPr>
        <i/>
        <sz val="11"/>
        <color theme="1"/>
        <rFont val="Aptos Narrow"/>
        <family val="2"/>
        <scheme val="minor"/>
      </rPr>
      <t>"Reporte guardado y firmado por [Nombre]</t>
    </r>
    <r>
      <rPr>
        <sz val="11"/>
        <color theme="1"/>
        <rFont val="Aptos Narrow"/>
        <family val="2"/>
        <scheme val="minor"/>
      </rPr>
      <t>".</t>
    </r>
  </si>
  <si>
    <t>2) Crear "Tarjetas de KPI" (rectángulos visuales) que muestren el Total de Ventas y la Ganania Estimada (40% del total). El valor de estas tarjetas debe salir de fórmulas vinculadas a celdas de la tabla dinámica</t>
  </si>
  <si>
    <t>3) Creá un gráfico dinámico que muestre la evolución mensual (en las filas). En el mismo gráfico, debés mostrar el Monto_Total como Columnas y la Cantidad de productos vendidos como una Línea. Para que no se deforme el gráfico, debés activar el Eje Secundario para la línea de cantidades.</t>
  </si>
  <si>
    <t>Fecha de envío entre: 27 de Julio y 31 de Julio</t>
  </si>
  <si>
    <t>Enviar el archivo como: &lt;APELLIDO&gt;_&lt;NOMBRE&gt;_TPI  . Ej: PERDOMO_LUCIANO_TPI.xlsm</t>
  </si>
  <si>
    <t>3) Grabe una macro y modifique el código en el editor de VBA para que la macro haga lo siguiente:</t>
  </si>
  <si>
    <t>4) Proteger hoja del dashboard con clave 123 para no modificar accdientalmente el tablero (y vean que ocurre con los graficos y filtros), luego quitar proteccion</t>
  </si>
  <si>
    <t>4) Validar los datos en las columnas de ID_Producto y Vendedor (Resaltar los incorrectos, y arreglar manualmente los que se pueda)</t>
  </si>
  <si>
    <t>2) Utilizar un campo calculado dentro de la Tabla Dinámica que calcule la "Comisión del Vendedor" ( 5% del total de la venta).</t>
  </si>
  <si>
    <t>4) En una tabla dinámica de vendedores, aplicá un formato condicional de Conjunto de Íconos (Semáforo) sobre la columna de ventas. Configurá la regla para que muestre un círculo verde si la venta supera los $1.500, amarillo entre $500 y $1.500, y rojo si es menor a $500. Ojo: la regla debe aplicarse a nivel de celdas de datos, no a los totales generales.</t>
  </si>
  <si>
    <r>
      <t xml:space="preserve">a. Lance un cuadro de texto </t>
    </r>
    <r>
      <rPr>
        <i/>
        <sz val="11"/>
        <color theme="1"/>
        <rFont val="Aptos Narrow"/>
        <family val="2"/>
        <scheme val="minor"/>
      </rPr>
      <t>InputBox</t>
    </r>
    <r>
      <rPr>
        <sz val="11"/>
        <color theme="1"/>
        <rFont val="Aptos Narrow"/>
        <family val="2"/>
        <scheme val="minor"/>
      </rPr>
      <t xml:space="preserve"> preguntando el nombre: </t>
    </r>
    <r>
      <rPr>
        <i/>
        <sz val="11"/>
        <color theme="1"/>
        <rFont val="Aptos Narrow"/>
        <family val="2"/>
        <scheme val="minor"/>
      </rPr>
      <t>Ingrese su nombre para firmar el reporte</t>
    </r>
    <r>
      <rPr>
        <sz val="11"/>
        <color theme="1"/>
        <rFont val="Aptos Narrow"/>
        <family val="2"/>
        <scheme val="minor"/>
      </rPr>
      <t xml:space="preserve"> .</t>
    </r>
  </si>
  <si>
    <t>Revisar ante cualquier duda, las filminas y lo realizado en clases</t>
  </si>
  <si>
    <t>Enviarlo a lucianor.perdomo@hotmail.com con asunto: TPI TALLER EXCEL &lt;APELLIDO&gt; &lt;NOMBRE&gt;</t>
  </si>
  <si>
    <t>Categoria_de_clientes</t>
  </si>
  <si>
    <t>Vendedores</t>
  </si>
  <si>
    <t>Total general</t>
  </si>
  <si>
    <t>ene</t>
  </si>
  <si>
    <t>feb</t>
  </si>
  <si>
    <t>mar</t>
  </si>
  <si>
    <t>abr</t>
  </si>
  <si>
    <t>may</t>
  </si>
  <si>
    <t>jun</t>
  </si>
  <si>
    <t>Trim.1</t>
  </si>
  <si>
    <t>Trim.2</t>
  </si>
  <si>
    <t>Suma de Monto_Total</t>
  </si>
  <si>
    <t>Fechas por Trimestres</t>
  </si>
  <si>
    <t>Suma de Comision_vendedor</t>
  </si>
  <si>
    <t>Revisar_validacion</t>
  </si>
  <si>
    <t>Suma de Cantidad</t>
  </si>
  <si>
    <t>Tendencia Mensual</t>
  </si>
  <si>
    <t>Semaforo vendedor</t>
  </si>
  <si>
    <t>Top Productos</t>
  </si>
  <si>
    <t>Categorias</t>
  </si>
  <si>
    <t>Tabla combinada</t>
  </si>
  <si>
    <t>Firmado por: Vera Franco Jesus Daniel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</si>
</sst>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quot;$&quot;\ #,##0.00"/>
    <numFmt numFmtId="168" formatCode="&quot;$&quot;\ #,##0"/>
  </numFmts>
  <fonts count="5" x14ac:knownFonts="1">
    <font>
      <sz val="11"/>
      <color theme="1"/>
      <name val="Aptos Narrow"/>
      <family val="2"/>
      <scheme val="minor"/>
    </font>
    <font>
      <b/>
      <sz val="11"/>
      <color theme="1"/>
      <name val="Aptos Narrow"/>
      <family val="2"/>
      <scheme val="minor"/>
    </font>
    <font>
      <b/>
      <sz val="11"/>
      <color theme="4"/>
      <name val="Aptos Narrow"/>
      <family val="2"/>
      <scheme val="minor"/>
    </font>
    <font>
      <i/>
      <sz val="11"/>
      <color theme="1"/>
      <name val="Aptos Narrow"/>
      <family val="2"/>
      <scheme val="minor"/>
    </font>
    <font>
      <sz val="11"/>
      <color theme="1"/>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2" fillId="0" borderId="0" xfId="0" applyFont="1"/>
    <xf numFmtId="14" fontId="0" fillId="0" borderId="0" xfId="0" applyNumberFormat="1"/>
    <xf numFmtId="0" fontId="0" fillId="2" borderId="0" xfId="0" applyFill="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6" fontId="0" fillId="0" borderId="0" xfId="0" applyNumberFormat="1"/>
    <xf numFmtId="0" fontId="0" fillId="0" borderId="0" xfId="0" applyAlignment="1"/>
    <xf numFmtId="14" fontId="0" fillId="0" borderId="0" xfId="0" applyNumberFormat="1" applyAlignment="1"/>
    <xf numFmtId="0" fontId="0" fillId="0" borderId="0" xfId="0" applyNumberFormat="1" applyAlignment="1"/>
    <xf numFmtId="166" fontId="0" fillId="0" borderId="0" xfId="0" applyNumberFormat="1" applyAlignment="1"/>
    <xf numFmtId="0" fontId="4" fillId="0" borderId="0" xfId="0" applyFont="1"/>
    <xf numFmtId="168" fontId="0" fillId="0" borderId="0" xfId="0" applyNumberFormat="1"/>
  </cellXfs>
  <cellStyles count="1">
    <cellStyle name="Normal" xfId="0" builtinId="0"/>
  </cellStyles>
  <dxfs count="73">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d/m/yyyy"/>
      <alignment horizontal="general" vertical="bottom" textRotation="0" wrapText="0" indent="0" justifyLastLine="0" shrinkToFit="0" readingOrder="0"/>
    </dxf>
    <dxf>
      <numFmt numFmtId="166" formatCode="&quot;$&quot;\ #,##0.00"/>
    </dxf>
    <dxf>
      <numFmt numFmtId="166" formatCode="&quot;$&quot;\ #,##0.00"/>
    </dxf>
    <dxf>
      <numFmt numFmtId="166" formatCode="&quot;$&quot;\ #,##0.00"/>
    </dxf>
    <dxf>
      <numFmt numFmtId="166" formatCode="&quot;$&quot;\ #,##0.00"/>
    </dxf>
    <dxf>
      <numFmt numFmtId="166" formatCode="&quot;$&quot;\ #,##0.00"/>
    </dxf>
    <dxf>
      <fill>
        <patternFill>
          <bgColor rgb="FFFF0000"/>
        </patternFill>
      </fill>
    </dxf>
    <dxf>
      <fill>
        <patternFill>
          <bgColor rgb="FFFF0000"/>
        </patternFill>
      </fill>
    </dxf>
    <dxf>
      <fill>
        <patternFill>
          <bgColor rgb="FFFF0000"/>
        </patternFill>
      </fill>
    </dxf>
    <dxf>
      <numFmt numFmtId="166" formatCode="&quot;$&quot;\ #,##0.00"/>
    </dxf>
    <dxf>
      <numFmt numFmtId="166" formatCode="&quot;$&quot;\ #,##0.00"/>
    </dxf>
    <dxf>
      <numFmt numFmtId="166" formatCode="&quot;$&quot;\ #,##0.00"/>
    </dxf>
    <dxf>
      <numFmt numFmtId="166" formatCode="&quot;$&quot;\ #,##0.00"/>
    </dxf>
    <dxf>
      <numFmt numFmtId="166" formatCode="&quot;$&quot;\ #,##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pivotCacheDefinition" Target="pivotCache/pivotCacheDefinition2.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5" Type="http://schemas.openxmlformats.org/officeDocument/2006/relationships/worksheet" Target="worksheets/sheet5.xml"/><Relationship Id="rId15" Type="http://schemas.microsoft.com/office/2011/relationships/timelineCache" Target="timelineCaches/timelineCache1.xml"/><Relationship Id="rId23" Type="http://schemas.microsoft.com/office/2006/relationships/vbaProject" Target="vbaProject.bin"/><Relationship Id="rId10" Type="http://schemas.openxmlformats.org/officeDocument/2006/relationships/pivotCacheDefinition" Target="pivotCache/pivotCacheDefinition5.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7.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pivotSource>
    <c:name>[VERA_FRANCO_TPI.xlsm]Tablas_dinamicas!TendenciaMensual</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Tendencia mensual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numFmt formatCode="&quot;$&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Tablas_dinamicas!$I$3</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s>
            <c:numFmt formatCode="&quot;$&quot;\ #,##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Tablas_dinamicas!$H$4:$H$10</c:f>
              <c:strCache>
                <c:ptCount val="6"/>
                <c:pt idx="0">
                  <c:v>ene</c:v>
                </c:pt>
                <c:pt idx="1">
                  <c:v>feb</c:v>
                </c:pt>
                <c:pt idx="2">
                  <c:v>mar</c:v>
                </c:pt>
                <c:pt idx="3">
                  <c:v>abr</c:v>
                </c:pt>
                <c:pt idx="4">
                  <c:v>may</c:v>
                </c:pt>
                <c:pt idx="5">
                  <c:v>jun</c:v>
                </c:pt>
              </c:strCache>
            </c:strRef>
          </c:cat>
          <c:val>
            <c:numRef>
              <c:f>Tablas_dinamicas!$I$4:$I$10</c:f>
              <c:numCache>
                <c:formatCode>"$"\ #.##000</c:formatCode>
                <c:ptCount val="6"/>
                <c:pt idx="0">
                  <c:v>1500</c:v>
                </c:pt>
                <c:pt idx="1">
                  <c:v>1400</c:v>
                </c:pt>
                <c:pt idx="2">
                  <c:v>3700</c:v>
                </c:pt>
                <c:pt idx="3">
                  <c:v>3550</c:v>
                </c:pt>
                <c:pt idx="4">
                  <c:v>6950</c:v>
                </c:pt>
                <c:pt idx="5">
                  <c:v>6420</c:v>
                </c:pt>
              </c:numCache>
            </c:numRef>
          </c:val>
          <c:smooth val="0"/>
          <c:extLst>
            <c:ext xmlns:c16="http://schemas.microsoft.com/office/drawing/2014/chart" uri="{C3380CC4-5D6E-409C-BE32-E72D297353CC}">
              <c16:uniqueId val="{00000001-5A92-4F31-9647-CFF94E82E7C8}"/>
            </c:ext>
          </c:extLst>
        </c:ser>
        <c:dLbls>
          <c:dLblPos val="t"/>
          <c:showLegendKey val="0"/>
          <c:showVal val="1"/>
          <c:showCatName val="0"/>
          <c:showSerName val="0"/>
          <c:showPercent val="0"/>
          <c:showBubbleSize val="0"/>
        </c:dLbls>
        <c:marker val="1"/>
        <c:smooth val="0"/>
        <c:axId val="1089529136"/>
        <c:axId val="1089527216"/>
      </c:lineChart>
      <c:catAx>
        <c:axId val="108952913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AR"/>
          </a:p>
        </c:txPr>
        <c:crossAx val="1089527216"/>
        <c:crosses val="autoZero"/>
        <c:auto val="1"/>
        <c:lblAlgn val="ctr"/>
        <c:lblOffset val="100"/>
        <c:noMultiLvlLbl val="0"/>
      </c:catAx>
      <c:valAx>
        <c:axId val="1089527216"/>
        <c:scaling>
          <c:orientation val="minMax"/>
        </c:scaling>
        <c:delete val="0"/>
        <c:axPos val="l"/>
        <c:majorGridlines>
          <c:spPr>
            <a:ln w="9525" cap="flat" cmpd="sng" algn="ctr">
              <a:solidFill>
                <a:schemeClr val="tx2">
                  <a:lumMod val="15000"/>
                  <a:lumOff val="85000"/>
                </a:schemeClr>
              </a:solidFill>
              <a:round/>
            </a:ln>
            <a:effectLst/>
          </c:spPr>
        </c:majorGridlines>
        <c:numFmt formatCode="&quot;$&quot;\ #,##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AR"/>
          </a:p>
        </c:txPr>
        <c:crossAx val="1089529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[VERA_FRANCO_TPI.xlsm]Tablas_dinamicas!TopProductos</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Top 5 productos mas vendidos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AR"/>
        </a:p>
      </c:txPr>
    </c:title>
    <c:autoTitleDeleted val="0"/>
    <c:pivotFmts>
      <c:pivotFmt>
        <c:idx val="0"/>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s>
    <c:plotArea>
      <c:layout/>
      <c:barChart>
        <c:barDir val="bar"/>
        <c:grouping val="clustered"/>
        <c:varyColors val="0"/>
        <c:ser>
          <c:idx val="0"/>
          <c:order val="0"/>
          <c:tx>
            <c:strRef>
              <c:f>Tablas_dinamicas!$L$3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Tablas_dinamicas!$K$4:$K$9</c:f>
              <c:strCache>
                <c:ptCount val="5"/>
                <c:pt idx="0">
                  <c:v>Teclado Mecánico</c:v>
                </c:pt>
                <c:pt idx="1">
                  <c:v>Silla Ergonómica</c:v>
                </c:pt>
                <c:pt idx="2">
                  <c:v>Auriculares Bluetooth</c:v>
                </c:pt>
                <c:pt idx="3">
                  <c:v>Monitor 24</c:v>
                </c:pt>
                <c:pt idx="4">
                  <c:v>Laptop Tech</c:v>
                </c:pt>
              </c:strCache>
            </c:strRef>
          </c:cat>
          <c:val>
            <c:numRef>
              <c:f>Tablas_dinamicas!$L$4:$L$9</c:f>
              <c:numCache>
                <c:formatCode>"$"\ #.##000</c:formatCode>
                <c:ptCount val="5"/>
                <c:pt idx="0">
                  <c:v>1050</c:v>
                </c:pt>
                <c:pt idx="1">
                  <c:v>2100</c:v>
                </c:pt>
                <c:pt idx="2">
                  <c:v>2720</c:v>
                </c:pt>
                <c:pt idx="3">
                  <c:v>3000</c:v>
                </c:pt>
                <c:pt idx="4">
                  <c:v>14400</c:v>
                </c:pt>
              </c:numCache>
            </c:numRef>
          </c:val>
          <c:extLst>
            <c:ext xmlns:c16="http://schemas.microsoft.com/office/drawing/2014/chart" uri="{C3380CC4-5D6E-409C-BE32-E72D297353CC}">
              <c16:uniqueId val="{0000000B-403F-4AE4-932D-C230102DCEAF}"/>
            </c:ext>
          </c:extLst>
        </c:ser>
        <c:dLbls>
          <c:dLblPos val="ctr"/>
          <c:showLegendKey val="0"/>
          <c:showVal val="1"/>
          <c:showCatName val="0"/>
          <c:showSerName val="0"/>
          <c:showPercent val="0"/>
          <c:showBubbleSize val="0"/>
        </c:dLbls>
        <c:gapWidth val="100"/>
        <c:axId val="2025381392"/>
        <c:axId val="2025382832"/>
      </c:barChart>
      <c:catAx>
        <c:axId val="202538139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AR"/>
          </a:p>
        </c:txPr>
        <c:crossAx val="2025382832"/>
        <c:auto val="1"/>
        <c:lblAlgn val="ctr"/>
        <c:lblOffset val="100"/>
        <c:noMultiLvlLbl val="0"/>
      </c:catAx>
      <c:valAx>
        <c:axId val="2025382832"/>
        <c:scaling>
          <c:orientation val="minMax"/>
        </c:scaling>
        <c:delete val="1"/>
        <c:axPos val="b"/>
        <c:majorGridlines>
          <c:spPr>
            <a:ln w="9525" cap="flat" cmpd="sng" algn="ctr">
              <a:solidFill>
                <a:schemeClr val="tx2">
                  <a:lumMod val="15000"/>
                  <a:lumOff val="85000"/>
                </a:schemeClr>
              </a:solidFill>
              <a:round/>
            </a:ln>
            <a:effectLst/>
          </c:spPr>
        </c:majorGridlines>
        <c:numFmt formatCode="&quot;$&quot;\ #,##0.00" sourceLinked="0"/>
        <c:majorTickMark val="none"/>
        <c:minorTickMark val="none"/>
        <c:tickLblPos val="nextTo"/>
        <c:crossAx val="2025381392"/>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[VERA_FRANCO_TPI.xlsm]Tablas_dinamicas!ParticipacionPorCategoria</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Participación por categoria</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42380415118377"/>
          <c:y val="0.14199637655912481"/>
          <c:w val="0.46056448934582878"/>
          <c:h val="0.73756945610349467"/>
        </c:manualLayout>
      </c:layout>
      <c:doughnutChart>
        <c:varyColors val="1"/>
        <c:ser>
          <c:idx val="0"/>
          <c:order val="0"/>
          <c:tx>
            <c:strRef>
              <c:f>Tablas_dinamicas!$O$3</c:f>
              <c:strCache>
                <c:ptCount val="1"/>
                <c:pt idx="0">
                  <c:v>Total</c:v>
                </c:pt>
              </c:strCache>
            </c:strRef>
          </c:tx>
          <c:dPt>
            <c:idx val="0"/>
            <c:bubble3D val="0"/>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c:spPr>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Pt>
          <c:dPt>
            <c:idx val="2"/>
            <c:bubble3D val="0"/>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Tablas_dinamicas!$N$4:$N$7</c:f>
              <c:strCache>
                <c:ptCount val="3"/>
                <c:pt idx="0">
                  <c:v>Tecnología</c:v>
                </c:pt>
                <c:pt idx="1">
                  <c:v>Audio</c:v>
                </c:pt>
                <c:pt idx="2">
                  <c:v>Oficina</c:v>
                </c:pt>
              </c:strCache>
            </c:strRef>
          </c:cat>
          <c:val>
            <c:numRef>
              <c:f>Tablas_dinamicas!$O$4:$O$7</c:f>
              <c:numCache>
                <c:formatCode>"$"\ #.##000</c:formatCode>
                <c:ptCount val="3"/>
                <c:pt idx="0">
                  <c:v>18450</c:v>
                </c:pt>
                <c:pt idx="1">
                  <c:v>2720</c:v>
                </c:pt>
                <c:pt idx="2">
                  <c:v>2350</c:v>
                </c:pt>
              </c:numCache>
            </c:numRef>
          </c:val>
          <c:extLst>
            <c:ext xmlns:c16="http://schemas.microsoft.com/office/drawing/2014/chart" uri="{C3380CC4-5D6E-409C-BE32-E72D297353CC}">
              <c16:uniqueId val="{00000001-07D6-4868-8E5A-5A11C6C27BDF}"/>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[VERA_FRANCO_TPI.xlsm]Tablas_dinamicas!TablaCombinada</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s-AR"/>
              <a:t>Monto x Cantidad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marker>
          <c:symbol val="circle"/>
          <c:size val="6"/>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Tablas_dinamicas!$R$3</c:f>
              <c:strCache>
                <c:ptCount val="1"/>
                <c:pt idx="0">
                  <c:v>Suma de Monto_Total</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Tablas_dinamicas!$Q$4:$Q$10</c:f>
              <c:strCache>
                <c:ptCount val="6"/>
                <c:pt idx="0">
                  <c:v>ene</c:v>
                </c:pt>
                <c:pt idx="1">
                  <c:v>feb</c:v>
                </c:pt>
                <c:pt idx="2">
                  <c:v>mar</c:v>
                </c:pt>
                <c:pt idx="3">
                  <c:v>abr</c:v>
                </c:pt>
                <c:pt idx="4">
                  <c:v>may</c:v>
                </c:pt>
                <c:pt idx="5">
                  <c:v>jun</c:v>
                </c:pt>
              </c:strCache>
            </c:strRef>
          </c:cat>
          <c:val>
            <c:numRef>
              <c:f>Tablas_dinamicas!$R$4:$R$10</c:f>
              <c:numCache>
                <c:formatCode>"$"\ #.##000</c:formatCode>
                <c:ptCount val="6"/>
                <c:pt idx="0">
                  <c:v>1500</c:v>
                </c:pt>
                <c:pt idx="1">
                  <c:v>1400</c:v>
                </c:pt>
                <c:pt idx="2">
                  <c:v>3700</c:v>
                </c:pt>
                <c:pt idx="3">
                  <c:v>3550</c:v>
                </c:pt>
                <c:pt idx="4">
                  <c:v>6950</c:v>
                </c:pt>
                <c:pt idx="5">
                  <c:v>6420</c:v>
                </c:pt>
              </c:numCache>
            </c:numRef>
          </c:val>
          <c:extLst>
            <c:ext xmlns:c16="http://schemas.microsoft.com/office/drawing/2014/chart" uri="{C3380CC4-5D6E-409C-BE32-E72D297353CC}">
              <c16:uniqueId val="{00000002-904A-4D30-AB2A-4CCF09B728B9}"/>
            </c:ext>
          </c:extLst>
        </c:ser>
        <c:dLbls>
          <c:showLegendKey val="0"/>
          <c:showVal val="0"/>
          <c:showCatName val="0"/>
          <c:showSerName val="0"/>
          <c:showPercent val="0"/>
          <c:showBubbleSize val="0"/>
        </c:dLbls>
        <c:gapWidth val="219"/>
        <c:axId val="108157584"/>
        <c:axId val="108158064"/>
      </c:barChart>
      <c:lineChart>
        <c:grouping val="standard"/>
        <c:varyColors val="0"/>
        <c:ser>
          <c:idx val="1"/>
          <c:order val="1"/>
          <c:tx>
            <c:strRef>
              <c:f>Tablas_dinamicas!$S$3</c:f>
              <c:strCache>
                <c:ptCount val="1"/>
                <c:pt idx="0">
                  <c:v>Suma de Cantidad</c:v>
                </c:pt>
              </c:strCache>
            </c:strRef>
          </c:tx>
          <c:spPr>
            <a:ln w="31750" cap="rnd">
              <a:solidFill>
                <a:schemeClr val="accent4">
                  <a:shade val="76000"/>
                </a:schemeClr>
              </a:solidFill>
              <a:round/>
            </a:ln>
            <a:effectLst/>
          </c:spPr>
          <c:marker>
            <c:symbol val="none"/>
          </c:marker>
          <c:cat>
            <c:strRef>
              <c:f>Tablas_dinamicas!$Q$4:$Q$10</c:f>
              <c:strCache>
                <c:ptCount val="6"/>
                <c:pt idx="0">
                  <c:v>ene</c:v>
                </c:pt>
                <c:pt idx="1">
                  <c:v>feb</c:v>
                </c:pt>
                <c:pt idx="2">
                  <c:v>mar</c:v>
                </c:pt>
                <c:pt idx="3">
                  <c:v>abr</c:v>
                </c:pt>
                <c:pt idx="4">
                  <c:v>may</c:v>
                </c:pt>
                <c:pt idx="5">
                  <c:v>jun</c:v>
                </c:pt>
              </c:strCache>
            </c:strRef>
          </c:cat>
          <c:val>
            <c:numRef>
              <c:f>Tablas_dinamicas!$S$4:$S$10</c:f>
              <c:numCache>
                <c:formatCode>General</c:formatCode>
                <c:ptCount val="6"/>
                <c:pt idx="0">
                  <c:v>3</c:v>
                </c:pt>
                <c:pt idx="1">
                  <c:v>12</c:v>
                </c:pt>
                <c:pt idx="2">
                  <c:v>3</c:v>
                </c:pt>
                <c:pt idx="3">
                  <c:v>22</c:v>
                </c:pt>
                <c:pt idx="4">
                  <c:v>24</c:v>
                </c:pt>
                <c:pt idx="5">
                  <c:v>23</c:v>
                </c:pt>
              </c:numCache>
            </c:numRef>
          </c:val>
          <c:smooth val="0"/>
          <c:extLst>
            <c:ext xmlns:c16="http://schemas.microsoft.com/office/drawing/2014/chart" uri="{C3380CC4-5D6E-409C-BE32-E72D297353CC}">
              <c16:uniqueId val="{00000003-904A-4D30-AB2A-4CCF09B728B9}"/>
            </c:ext>
          </c:extLst>
        </c:ser>
        <c:dLbls>
          <c:showLegendKey val="0"/>
          <c:showVal val="0"/>
          <c:showCatName val="0"/>
          <c:showSerName val="0"/>
          <c:showPercent val="0"/>
          <c:showBubbleSize val="0"/>
        </c:dLbls>
        <c:marker val="1"/>
        <c:smooth val="0"/>
        <c:axId val="98859184"/>
        <c:axId val="98860144"/>
      </c:lineChart>
      <c:catAx>
        <c:axId val="10815758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AR"/>
          </a:p>
        </c:txPr>
        <c:crossAx val="108158064"/>
        <c:crosses val="autoZero"/>
        <c:auto val="1"/>
        <c:lblAlgn val="ctr"/>
        <c:lblOffset val="100"/>
        <c:noMultiLvlLbl val="0"/>
      </c:catAx>
      <c:valAx>
        <c:axId val="108158064"/>
        <c:scaling>
          <c:orientation val="minMax"/>
        </c:scaling>
        <c:delete val="0"/>
        <c:axPos val="l"/>
        <c:majorGridlines>
          <c:spPr>
            <a:ln w="9525" cap="flat" cmpd="sng" algn="ctr">
              <a:solidFill>
                <a:schemeClr val="tx2">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AR"/>
          </a:p>
        </c:txPr>
        <c:crossAx val="108157584"/>
        <c:crosses val="autoZero"/>
        <c:crossBetween val="between"/>
      </c:valAx>
      <c:valAx>
        <c:axId val="988601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AR"/>
          </a:p>
        </c:txPr>
        <c:crossAx val="98859184"/>
        <c:crosses val="max"/>
        <c:crossBetween val="between"/>
      </c:valAx>
      <c:catAx>
        <c:axId val="98859184"/>
        <c:scaling>
          <c:orientation val="minMax"/>
        </c:scaling>
        <c:delete val="1"/>
        <c:axPos val="b"/>
        <c:numFmt formatCode="General" sourceLinked="1"/>
        <c:majorTickMark val="out"/>
        <c:minorTickMark val="none"/>
        <c:tickLblPos val="nextTo"/>
        <c:crossAx val="98860144"/>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t"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0</xdr:colOff>
      <xdr:row>31</xdr:row>
      <xdr:rowOff>38100</xdr:rowOff>
    </xdr:from>
    <xdr:to>
      <xdr:col>12</xdr:col>
      <xdr:colOff>228600</xdr:colOff>
      <xdr:row>33</xdr:row>
      <xdr:rowOff>99060</xdr:rowOff>
    </xdr:to>
    <xdr:grpSp>
      <xdr:nvGrpSpPr>
        <xdr:cNvPr id="5" name="Grupo 4">
          <a:extLst>
            <a:ext uri="{FF2B5EF4-FFF2-40B4-BE49-F238E27FC236}">
              <a16:creationId xmlns:a16="http://schemas.microsoft.com/office/drawing/2014/main" id="{F05C213D-0173-0E01-ADED-9EF23C61C30D}"/>
            </a:ext>
          </a:extLst>
        </xdr:cNvPr>
        <xdr:cNvGrpSpPr/>
      </xdr:nvGrpSpPr>
      <xdr:grpSpPr>
        <a:xfrm>
          <a:off x="9029700" y="5707380"/>
          <a:ext cx="1813560" cy="426720"/>
          <a:chOff x="9083040" y="6004560"/>
          <a:chExt cx="1813560" cy="426720"/>
        </a:xfrm>
      </xdr:grpSpPr>
      <xdr:sp macro="[0]!PonerFiltro" textlink="">
        <xdr:nvSpPr>
          <xdr:cNvPr id="2" name="Rectángulo: esquinas redondeadas 1">
            <a:extLst>
              <a:ext uri="{FF2B5EF4-FFF2-40B4-BE49-F238E27FC236}">
                <a16:creationId xmlns:a16="http://schemas.microsoft.com/office/drawing/2014/main" id="{02189D39-7037-FF51-801E-2744CE274883}"/>
              </a:ext>
            </a:extLst>
          </xdr:cNvPr>
          <xdr:cNvSpPr/>
        </xdr:nvSpPr>
        <xdr:spPr>
          <a:xfrm>
            <a:off x="9083040" y="6004560"/>
            <a:ext cx="1813560" cy="42672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AR" sz="1100"/>
          </a:p>
        </xdr:txBody>
      </xdr:sp>
      <xdr:sp macro="[0]!PonerFiltro" textlink="">
        <xdr:nvSpPr>
          <xdr:cNvPr id="3" name="CuadroTexto 2">
            <a:extLst>
              <a:ext uri="{FF2B5EF4-FFF2-40B4-BE49-F238E27FC236}">
                <a16:creationId xmlns:a16="http://schemas.microsoft.com/office/drawing/2014/main" id="{13B02E04-14FF-144C-D862-FDBBF80143ED}"/>
              </a:ext>
            </a:extLst>
          </xdr:cNvPr>
          <xdr:cNvSpPr txBox="1"/>
        </xdr:nvSpPr>
        <xdr:spPr>
          <a:xfrm>
            <a:off x="9227820" y="6065520"/>
            <a:ext cx="1470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200">
                <a:latin typeface="Segoe UI" panose="020B0502040204020203" pitchFamily="34" charset="0"/>
                <a:cs typeface="Segoe UI" panose="020B0502040204020203" pitchFamily="34" charset="0"/>
              </a:rPr>
              <a:t>Formatear Reporte</a:t>
            </a:r>
          </a:p>
        </xdr:txBody>
      </xdr:sp>
    </xdr:grpSp>
    <xdr:clientData/>
  </xdr:twoCellAnchor>
  <xdr:twoCellAnchor>
    <xdr:from>
      <xdr:col>12</xdr:col>
      <xdr:colOff>541020</xdr:colOff>
      <xdr:row>31</xdr:row>
      <xdr:rowOff>0</xdr:rowOff>
    </xdr:from>
    <xdr:to>
      <xdr:col>14</xdr:col>
      <xdr:colOff>396240</xdr:colOff>
      <xdr:row>33</xdr:row>
      <xdr:rowOff>175260</xdr:rowOff>
    </xdr:to>
    <xdr:grpSp>
      <xdr:nvGrpSpPr>
        <xdr:cNvPr id="8" name="Grupo 7">
          <a:extLst>
            <a:ext uri="{FF2B5EF4-FFF2-40B4-BE49-F238E27FC236}">
              <a16:creationId xmlns:a16="http://schemas.microsoft.com/office/drawing/2014/main" id="{B25CFBE4-3769-B0B8-431B-9C38A94D84FD}"/>
            </a:ext>
          </a:extLst>
        </xdr:cNvPr>
        <xdr:cNvGrpSpPr/>
      </xdr:nvGrpSpPr>
      <xdr:grpSpPr>
        <a:xfrm>
          <a:off x="11155680" y="5669280"/>
          <a:ext cx="1440180" cy="541020"/>
          <a:chOff x="11361420" y="5699760"/>
          <a:chExt cx="1440180" cy="541020"/>
        </a:xfrm>
      </xdr:grpSpPr>
      <xdr:sp macro="[0]!QuitarFormato" textlink="">
        <xdr:nvSpPr>
          <xdr:cNvPr id="6" name="Rectángulo: esquinas redondeadas 5">
            <a:extLst>
              <a:ext uri="{FF2B5EF4-FFF2-40B4-BE49-F238E27FC236}">
                <a16:creationId xmlns:a16="http://schemas.microsoft.com/office/drawing/2014/main" id="{1AA0B1DF-4A18-B70C-9D4B-3EBB9BB28057}"/>
              </a:ext>
            </a:extLst>
          </xdr:cNvPr>
          <xdr:cNvSpPr/>
        </xdr:nvSpPr>
        <xdr:spPr>
          <a:xfrm>
            <a:off x="11361420" y="5699760"/>
            <a:ext cx="1440180" cy="54102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s-AR" sz="1100"/>
          </a:p>
        </xdr:txBody>
      </xdr:sp>
      <xdr:sp macro="[0]!QuitarFormato" textlink="">
        <xdr:nvSpPr>
          <xdr:cNvPr id="7" name="CuadroTexto 6">
            <a:extLst>
              <a:ext uri="{FF2B5EF4-FFF2-40B4-BE49-F238E27FC236}">
                <a16:creationId xmlns:a16="http://schemas.microsoft.com/office/drawing/2014/main" id="{F4E8A8D2-5199-31A7-067D-AE9AE0EA960A}"/>
              </a:ext>
            </a:extLst>
          </xdr:cNvPr>
          <xdr:cNvSpPr txBox="1"/>
        </xdr:nvSpPr>
        <xdr:spPr>
          <a:xfrm>
            <a:off x="11513820" y="5814060"/>
            <a:ext cx="11582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a:latin typeface="Segoe UI" panose="020B0502040204020203" pitchFamily="34" charset="0"/>
                <a:cs typeface="Segoe UI" panose="020B0502040204020203" pitchFamily="34" charset="0"/>
              </a:rPr>
              <a:t>Quitar Formato</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13</xdr:row>
      <xdr:rowOff>53340</xdr:rowOff>
    </xdr:from>
    <xdr:to>
      <xdr:col>1</xdr:col>
      <xdr:colOff>312420</xdr:colOff>
      <xdr:row>26</xdr:row>
      <xdr:rowOff>83819</xdr:rowOff>
    </xdr:to>
    <mc:AlternateContent xmlns:mc="http://schemas.openxmlformats.org/markup-compatibility/2006">
      <mc:Choice xmlns:a14="http://schemas.microsoft.com/office/drawing/2010/main" Requires="a14">
        <xdr:graphicFrame macro="">
          <xdr:nvGraphicFramePr>
            <xdr:cNvPr id="4" name="ID_Producto">
              <a:extLst>
                <a:ext uri="{FF2B5EF4-FFF2-40B4-BE49-F238E27FC236}">
                  <a16:creationId xmlns:a16="http://schemas.microsoft.com/office/drawing/2014/main" id="{06002E30-7203-5C55-C5B7-C030EFA4C1FA}"/>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dr:sp macro="" textlink="">
          <xdr:nvSpPr>
            <xdr:cNvPr id="0" name=""/>
            <xdr:cNvSpPr>
              <a:spLocks noTextEdit="1"/>
            </xdr:cNvSpPr>
          </xdr:nvSpPr>
          <xdr:spPr>
            <a:xfrm>
              <a:off x="0" y="2430780"/>
              <a:ext cx="1790700" cy="240791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261262</xdr:colOff>
      <xdr:row>1</xdr:row>
      <xdr:rowOff>32659</xdr:rowOff>
    </xdr:from>
    <xdr:to>
      <xdr:col>20</xdr:col>
      <xdr:colOff>762005</xdr:colOff>
      <xdr:row>58</xdr:row>
      <xdr:rowOff>130630</xdr:rowOff>
    </xdr:to>
    <xdr:grpSp>
      <xdr:nvGrpSpPr>
        <xdr:cNvPr id="64" name="Grupo 63">
          <a:extLst>
            <a:ext uri="{FF2B5EF4-FFF2-40B4-BE49-F238E27FC236}">
              <a16:creationId xmlns:a16="http://schemas.microsoft.com/office/drawing/2014/main" id="{300B0625-FD26-D5E5-1C19-59EDF9C8AEFD}"/>
            </a:ext>
          </a:extLst>
        </xdr:cNvPr>
        <xdr:cNvGrpSpPr/>
      </xdr:nvGrpSpPr>
      <xdr:grpSpPr>
        <a:xfrm>
          <a:off x="261262" y="217716"/>
          <a:ext cx="16393886" cy="10678885"/>
          <a:chOff x="108858" y="217716"/>
          <a:chExt cx="16393886" cy="10646228"/>
        </a:xfrm>
      </xdr:grpSpPr>
      <xdr:grpSp>
        <xdr:nvGrpSpPr>
          <xdr:cNvPr id="61" name="Grupo 60">
            <a:extLst>
              <a:ext uri="{FF2B5EF4-FFF2-40B4-BE49-F238E27FC236}">
                <a16:creationId xmlns:a16="http://schemas.microsoft.com/office/drawing/2014/main" id="{305326B8-16E6-0A4D-1DA3-0E32FA9DAB1E}"/>
              </a:ext>
            </a:extLst>
          </xdr:cNvPr>
          <xdr:cNvGrpSpPr/>
        </xdr:nvGrpSpPr>
        <xdr:grpSpPr>
          <a:xfrm>
            <a:off x="108858" y="217716"/>
            <a:ext cx="16393886" cy="10646228"/>
            <a:chOff x="108858" y="217716"/>
            <a:chExt cx="16393886" cy="10646228"/>
          </a:xfrm>
        </xdr:grpSpPr>
        <xdr:grpSp>
          <xdr:nvGrpSpPr>
            <xdr:cNvPr id="55" name="Grupo 54">
              <a:extLst>
                <a:ext uri="{FF2B5EF4-FFF2-40B4-BE49-F238E27FC236}">
                  <a16:creationId xmlns:a16="http://schemas.microsoft.com/office/drawing/2014/main" id="{63A6A11D-B51B-26F6-1683-D8E85EDA3F3E}"/>
                </a:ext>
              </a:extLst>
            </xdr:cNvPr>
            <xdr:cNvGrpSpPr/>
          </xdr:nvGrpSpPr>
          <xdr:grpSpPr>
            <a:xfrm>
              <a:off x="108858" y="217716"/>
              <a:ext cx="16393886" cy="10646228"/>
              <a:chOff x="108858" y="217716"/>
              <a:chExt cx="16393886" cy="10646228"/>
            </a:xfrm>
          </xdr:grpSpPr>
          <xdr:sp macro="" textlink="">
            <xdr:nvSpPr>
              <xdr:cNvPr id="2" name="Rectángulo: esquinas redondeadas 1">
                <a:extLst>
                  <a:ext uri="{FF2B5EF4-FFF2-40B4-BE49-F238E27FC236}">
                    <a16:creationId xmlns:a16="http://schemas.microsoft.com/office/drawing/2014/main" id="{089BAE19-B23D-7AEF-6C34-AE3F8EA5B25E}"/>
                  </a:ext>
                </a:extLst>
              </xdr:cNvPr>
              <xdr:cNvSpPr/>
            </xdr:nvSpPr>
            <xdr:spPr>
              <a:xfrm>
                <a:off x="108858" y="217716"/>
                <a:ext cx="16393886" cy="10646228"/>
              </a:xfrm>
              <a:prstGeom prst="roundRect">
                <a:avLst>
                  <a:gd name="adj" fmla="val 2193"/>
                </a:avLst>
              </a:prstGeom>
              <a:solidFill>
                <a:schemeClr val="bg2"/>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graphicFrame macro="">
            <xdr:nvGraphicFramePr>
              <xdr:cNvPr id="3" name="Gráfico 4">
                <a:extLst>
                  <a:ext uri="{FF2B5EF4-FFF2-40B4-BE49-F238E27FC236}">
                    <a16:creationId xmlns:a16="http://schemas.microsoft.com/office/drawing/2014/main" id="{333E392D-2F1C-0F37-131C-DD743DE460FF}"/>
                  </a:ext>
                </a:extLst>
              </xdr:cNvPr>
              <xdr:cNvGraphicFramePr/>
            </xdr:nvGraphicFramePr>
            <xdr:xfrm>
              <a:off x="728384" y="3135086"/>
              <a:ext cx="9841645" cy="3578249"/>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áfico 5">
                <a:extLst>
                  <a:ext uri="{FF2B5EF4-FFF2-40B4-BE49-F238E27FC236}">
                    <a16:creationId xmlns:a16="http://schemas.microsoft.com/office/drawing/2014/main" id="{B3B0F0F6-3C8C-64E6-6F17-BBAF311DB6CB}"/>
                  </a:ext>
                </a:extLst>
              </xdr:cNvPr>
              <xdr:cNvGraphicFramePr/>
            </xdr:nvGraphicFramePr>
            <xdr:xfrm>
              <a:off x="8665027" y="6803571"/>
              <a:ext cx="7263351" cy="377218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áfico 6">
                <a:extLst>
                  <a:ext uri="{FF2B5EF4-FFF2-40B4-BE49-F238E27FC236}">
                    <a16:creationId xmlns:a16="http://schemas.microsoft.com/office/drawing/2014/main" id="{96775C9F-1305-6840-9675-EADB6B447EF4}"/>
                  </a:ext>
                </a:extLst>
              </xdr:cNvPr>
              <xdr:cNvGraphicFramePr/>
            </xdr:nvGraphicFramePr>
            <xdr:xfrm>
              <a:off x="10722429" y="3135086"/>
              <a:ext cx="5236028" cy="3582933"/>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a14="http://schemas.microsoft.com/office/drawing/2010/main" Requires="a14">
              <xdr:graphicFrame macro="">
                <xdr:nvGraphicFramePr>
                  <xdr:cNvPr id="8" name="Vendedor">
                    <a:extLst>
                      <a:ext uri="{FF2B5EF4-FFF2-40B4-BE49-F238E27FC236}">
                        <a16:creationId xmlns:a16="http://schemas.microsoft.com/office/drawing/2014/main" id="{06093A1D-F79C-9B24-F3D8-2BC0C649C165}"/>
                      </a:ext>
                    </a:extLst>
                  </xdr:cNvPr>
                  <xdr:cNvGraphicFramePr/>
                </xdr:nvGraphicFramePr>
                <xdr:xfrm>
                  <a:off x="6574970" y="1631039"/>
                  <a:ext cx="2035629" cy="1295399"/>
                </xdr:xfrm>
                <a:graphic>
                  <a:graphicData uri="http://schemas.microsoft.com/office/drawing/2010/slicer">
                    <sle:slicer xmlns:sle="http://schemas.microsoft.com/office/drawing/2010/slicer" name="Vendedor"/>
                  </a:graphicData>
                </a:graphic>
              </xdr:graphicFrame>
            </mc:Choice>
            <mc:Fallback>
              <xdr:sp macro="" textlink="">
                <xdr:nvSpPr>
                  <xdr:cNvPr id="0" name=""/>
                  <xdr:cNvSpPr>
                    <a:spLocks noTextEdit="1"/>
                  </xdr:cNvSpPr>
                </xdr:nvSpPr>
                <xdr:spPr>
                  <a:xfrm>
                    <a:off x="6727374" y="1635374"/>
                    <a:ext cx="2035629" cy="1299373"/>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nvGrpSpPr>
              <xdr:cNvPr id="14" name="Grupo 13">
                <a:extLst>
                  <a:ext uri="{FF2B5EF4-FFF2-40B4-BE49-F238E27FC236}">
                    <a16:creationId xmlns:a16="http://schemas.microsoft.com/office/drawing/2014/main" id="{8BF8B0D3-858A-CB98-F207-9D3DCC43108F}"/>
                  </a:ext>
                </a:extLst>
              </xdr:cNvPr>
              <xdr:cNvGrpSpPr/>
            </xdr:nvGrpSpPr>
            <xdr:grpSpPr>
              <a:xfrm>
                <a:off x="8737896" y="439952"/>
                <a:ext cx="3650046" cy="1040507"/>
                <a:chOff x="1135380" y="601980"/>
                <a:chExt cx="1432560" cy="838200"/>
              </a:xfrm>
            </xdr:grpSpPr>
            <xdr:sp macro="" textlink="Tablas_dinamicas!J10">
              <xdr:nvSpPr>
                <xdr:cNvPr id="9" name="Rectángulo 8">
                  <a:extLst>
                    <a:ext uri="{FF2B5EF4-FFF2-40B4-BE49-F238E27FC236}">
                      <a16:creationId xmlns:a16="http://schemas.microsoft.com/office/drawing/2014/main" id="{635327C6-25F9-E79C-A636-16DF9D5F26AD}"/>
                    </a:ext>
                  </a:extLst>
                </xdr:cNvPr>
                <xdr:cNvSpPr/>
              </xdr:nvSpPr>
              <xdr:spPr>
                <a:xfrm>
                  <a:off x="1135380" y="601980"/>
                  <a:ext cx="1432560" cy="838200"/>
                </a:xfrm>
                <a:prstGeom prst="rect">
                  <a:avLst/>
                </a:prstGeom>
                <a:ln>
                  <a:solidFill>
                    <a:schemeClr val="tx1">
                      <a:lumMod val="50000"/>
                      <a:lumOff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fld id="{A3EF6FD9-D91B-450F-85C6-677B622EB4DF}" type="TxLink">
                    <a:rPr lang="en-US" sz="4400" b="0" i="0" u="none" strike="noStrike">
                      <a:solidFill>
                        <a:srgbClr val="000000"/>
                      </a:solidFill>
                      <a:latin typeface="Segoe UI" panose="020B0502040204020203" pitchFamily="34" charset="0"/>
                      <a:cs typeface="Segoe UI" panose="020B0502040204020203" pitchFamily="34" charset="0"/>
                    </a:rPr>
                    <a:t>$ 23.520</a:t>
                  </a:fld>
                  <a:endParaRPr lang="es-AR" sz="400000">
                    <a:latin typeface="Segoe UI" panose="020B0502040204020203" pitchFamily="34" charset="0"/>
                    <a:cs typeface="Segoe UI" panose="020B0502040204020203" pitchFamily="34" charset="0"/>
                  </a:endParaRPr>
                </a:p>
              </xdr:txBody>
            </xdr:sp>
            <xdr:sp macro="" textlink="">
              <xdr:nvSpPr>
                <xdr:cNvPr id="12" name="CuadroTexto 11">
                  <a:extLst>
                    <a:ext uri="{FF2B5EF4-FFF2-40B4-BE49-F238E27FC236}">
                      <a16:creationId xmlns:a16="http://schemas.microsoft.com/office/drawing/2014/main" id="{500F24F7-A006-C1D6-AF1E-DFF752C1566D}"/>
                    </a:ext>
                  </a:extLst>
                </xdr:cNvPr>
                <xdr:cNvSpPr txBox="1"/>
              </xdr:nvSpPr>
              <xdr:spPr>
                <a:xfrm>
                  <a:off x="1194472" y="603637"/>
                  <a:ext cx="625504" cy="227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400">
                      <a:latin typeface="Segoe UI" panose="020B0502040204020203" pitchFamily="34" charset="0"/>
                      <a:cs typeface="Segoe UI" panose="020B0502040204020203" pitchFamily="34" charset="0"/>
                    </a:rPr>
                    <a:t>Total de ventas</a:t>
                  </a:r>
                </a:p>
              </xdr:txBody>
            </xdr:sp>
          </xdr:grpSp>
          <xdr:grpSp>
            <xdr:nvGrpSpPr>
              <xdr:cNvPr id="16" name="Grupo 15">
                <a:extLst>
                  <a:ext uri="{FF2B5EF4-FFF2-40B4-BE49-F238E27FC236}">
                    <a16:creationId xmlns:a16="http://schemas.microsoft.com/office/drawing/2014/main" id="{5F41B516-43B5-7A71-D153-3913949C76EA}"/>
                  </a:ext>
                </a:extLst>
              </xdr:cNvPr>
              <xdr:cNvGrpSpPr/>
            </xdr:nvGrpSpPr>
            <xdr:grpSpPr>
              <a:xfrm>
                <a:off x="12453258" y="424543"/>
                <a:ext cx="3498505" cy="1055914"/>
                <a:chOff x="2823613" y="277083"/>
                <a:chExt cx="1432560" cy="818082"/>
              </a:xfrm>
            </xdr:grpSpPr>
            <xdr:sp macro="" textlink="Tablas_dinamicas!J11">
              <xdr:nvSpPr>
                <xdr:cNvPr id="10" name="Rectángulo 9">
                  <a:extLst>
                    <a:ext uri="{FF2B5EF4-FFF2-40B4-BE49-F238E27FC236}">
                      <a16:creationId xmlns:a16="http://schemas.microsoft.com/office/drawing/2014/main" id="{8176A7E2-8614-42F2-B29F-A908523ADEE9}"/>
                    </a:ext>
                  </a:extLst>
                </xdr:cNvPr>
                <xdr:cNvSpPr/>
              </xdr:nvSpPr>
              <xdr:spPr>
                <a:xfrm>
                  <a:off x="2823613" y="277083"/>
                  <a:ext cx="1432560" cy="818082"/>
                </a:xfrm>
                <a:prstGeom prst="rect">
                  <a:avLst/>
                </a:prstGeom>
                <a:ln>
                  <a:solidFill>
                    <a:schemeClr val="tx1">
                      <a:lumMod val="50000"/>
                      <a:lumOff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fld id="{1CD3B4EA-F1DC-4875-BE15-0CA4C66B1225}" type="TxLink">
                    <a:rPr lang="en-US" sz="4000" b="0" i="0" u="none" strike="noStrike">
                      <a:solidFill>
                        <a:srgbClr val="000000"/>
                      </a:solidFill>
                      <a:latin typeface="Segoe UI" panose="020B0502040204020203" pitchFamily="34" charset="0"/>
                      <a:cs typeface="Segoe UI" panose="020B0502040204020203" pitchFamily="34" charset="0"/>
                    </a:rPr>
                    <a:t>$ 9.408</a:t>
                  </a:fld>
                  <a:endParaRPr lang="es-AR" sz="85700">
                    <a:latin typeface="Segoe UI" panose="020B0502040204020203" pitchFamily="34" charset="0"/>
                    <a:cs typeface="Segoe UI" panose="020B0502040204020203" pitchFamily="34" charset="0"/>
                  </a:endParaRPr>
                </a:p>
              </xdr:txBody>
            </xdr:sp>
            <xdr:sp macro="" textlink="">
              <xdr:nvSpPr>
                <xdr:cNvPr id="15" name="CuadroTexto 14">
                  <a:extLst>
                    <a:ext uri="{FF2B5EF4-FFF2-40B4-BE49-F238E27FC236}">
                      <a16:creationId xmlns:a16="http://schemas.microsoft.com/office/drawing/2014/main" id="{02A53F9A-7EEC-5353-B20D-8CCF7DFD3EEC}"/>
                    </a:ext>
                  </a:extLst>
                </xdr:cNvPr>
                <xdr:cNvSpPr txBox="1"/>
              </xdr:nvSpPr>
              <xdr:spPr>
                <a:xfrm>
                  <a:off x="2835343" y="282976"/>
                  <a:ext cx="766281" cy="195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400">
                      <a:latin typeface="Segoe UI" panose="020B0502040204020203" pitchFamily="34" charset="0"/>
                      <a:cs typeface="Segoe UI" panose="020B0502040204020203" pitchFamily="34" charset="0"/>
                    </a:rPr>
                    <a:t>Ganancia estimada</a:t>
                  </a:r>
                </a:p>
              </xdr:txBody>
            </xdr:sp>
          </xdr:grpSp>
          <xdr:graphicFrame macro="">
            <xdr:nvGraphicFramePr>
              <xdr:cNvPr id="17" name="Gráfico 7">
                <a:extLst>
                  <a:ext uri="{FF2B5EF4-FFF2-40B4-BE49-F238E27FC236}">
                    <a16:creationId xmlns:a16="http://schemas.microsoft.com/office/drawing/2014/main" id="{D1ADC9D7-9195-2918-C94C-22291D8A6441}"/>
                  </a:ext>
                </a:extLst>
              </xdr:cNvPr>
              <xdr:cNvGraphicFramePr/>
            </xdr:nvGraphicFramePr>
            <xdr:xfrm>
              <a:off x="740177" y="6803571"/>
              <a:ext cx="7848652" cy="3777343"/>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tsle="http://schemas.microsoft.com/office/drawing/2012/timeslicer" Requires="tsle">
              <xdr:graphicFrame macro="">
                <xdr:nvGraphicFramePr>
                  <xdr:cNvPr id="7" name="Fecha">
                    <a:extLst>
                      <a:ext uri="{FF2B5EF4-FFF2-40B4-BE49-F238E27FC236}">
                        <a16:creationId xmlns:a16="http://schemas.microsoft.com/office/drawing/2014/main" id="{E34D7557-6992-E848-F00F-713DAF2F3139}"/>
                      </a:ext>
                    </a:extLst>
                  </xdr:cNvPr>
                  <xdr:cNvGraphicFramePr/>
                </xdr:nvGraphicFramePr>
                <xdr:xfrm>
                  <a:off x="10542759" y="1546543"/>
                  <a:ext cx="5415697" cy="1387777"/>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10695163" y="1550619"/>
                    <a:ext cx="5415697" cy="1392034"/>
                  </a:xfrm>
                  <a:prstGeom prst="rect">
                    <a:avLst/>
                  </a:prstGeom>
                  <a:solidFill>
                    <a:prstClr val="white"/>
                  </a:solidFill>
                  <a:ln w="1">
                    <a:solidFill>
                      <a:prstClr val="green"/>
                    </a:solidFill>
                  </a:ln>
                </xdr:spPr>
                <xdr:txBody>
                  <a:bodyPr vertOverflow="clip" horzOverflow="clip"/>
                  <a:lstStyle/>
                  <a:p>
                    <a:r>
                      <a:rPr lang="es-AR" sz="1100"/>
                      <a:t>Línea de tiempo: Funciona en Excel 2013 o superior. No mover ni cambiar el tamaño.</a:t>
                    </a:r>
                  </a:p>
                </xdr:txBody>
              </xdr:sp>
            </mc:Fallback>
          </mc:AlternateContent>
          <xdr:grpSp>
            <xdr:nvGrpSpPr>
              <xdr:cNvPr id="45" name="Grupo 44">
                <a:extLst>
                  <a:ext uri="{FF2B5EF4-FFF2-40B4-BE49-F238E27FC236}">
                    <a16:creationId xmlns:a16="http://schemas.microsoft.com/office/drawing/2014/main" id="{A7D4E773-0687-A58C-F882-1A23A86F316C}"/>
                  </a:ext>
                </a:extLst>
              </xdr:cNvPr>
              <xdr:cNvGrpSpPr/>
            </xdr:nvGrpSpPr>
            <xdr:grpSpPr>
              <a:xfrm>
                <a:off x="8773887" y="2394860"/>
                <a:ext cx="1676398" cy="511627"/>
                <a:chOff x="3004459" y="1611086"/>
                <a:chExt cx="1524000" cy="359228"/>
              </a:xfrm>
            </xdr:grpSpPr>
            <xdr:sp macro="" textlink="">
              <xdr:nvSpPr>
                <xdr:cNvPr id="41" name="Rectángulo: esquinas redondeadas 40">
                  <a:extLst>
                    <a:ext uri="{FF2B5EF4-FFF2-40B4-BE49-F238E27FC236}">
                      <a16:creationId xmlns:a16="http://schemas.microsoft.com/office/drawing/2014/main" id="{BC22B802-896F-4654-914B-3C5E11838177}"/>
                    </a:ext>
                  </a:extLst>
                </xdr:cNvPr>
                <xdr:cNvSpPr/>
              </xdr:nvSpPr>
              <xdr:spPr>
                <a:xfrm>
                  <a:off x="3004459" y="1611086"/>
                  <a:ext cx="1524000" cy="359228"/>
                </a:xfrm>
                <a:prstGeom prst="roundRect">
                  <a:avLst/>
                </a:prstGeom>
                <a:solidFill>
                  <a:srgbClr val="0070C0"/>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0]!FirmarReporte" textlink="">
              <xdr:nvSpPr>
                <xdr:cNvPr id="43" name="CuadroTexto 42">
                  <a:extLst>
                    <a:ext uri="{FF2B5EF4-FFF2-40B4-BE49-F238E27FC236}">
                      <a16:creationId xmlns:a16="http://schemas.microsoft.com/office/drawing/2014/main" id="{2B501197-C9B8-7138-95CC-644DD5A039CB}"/>
                    </a:ext>
                  </a:extLst>
                </xdr:cNvPr>
                <xdr:cNvSpPr txBox="1"/>
              </xdr:nvSpPr>
              <xdr:spPr>
                <a:xfrm>
                  <a:off x="3156858" y="1643989"/>
                  <a:ext cx="1219200" cy="285271"/>
                </a:xfrm>
                <a:prstGeom prst="rect">
                  <a:avLst/>
                </a:prstGeom>
                <a:solidFill>
                  <a:srgbClr val="0070C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1400">
                      <a:latin typeface="Segoe UI" panose="020B0502040204020203" pitchFamily="34" charset="0"/>
                      <a:cs typeface="Segoe UI" panose="020B0502040204020203" pitchFamily="34" charset="0"/>
                    </a:rPr>
                    <a:t>Firmar</a:t>
                  </a:r>
                </a:p>
              </xdr:txBody>
            </xdr:sp>
          </xdr:grpSp>
          <xdr:grpSp>
            <xdr:nvGrpSpPr>
              <xdr:cNvPr id="51" name="Grupo 50">
                <a:extLst>
                  <a:ext uri="{FF2B5EF4-FFF2-40B4-BE49-F238E27FC236}">
                    <a16:creationId xmlns:a16="http://schemas.microsoft.com/office/drawing/2014/main" id="{412AD1BE-EE9A-2AAB-A8D7-610DC910407D}"/>
                  </a:ext>
                </a:extLst>
              </xdr:cNvPr>
              <xdr:cNvGrpSpPr/>
            </xdr:nvGrpSpPr>
            <xdr:grpSpPr>
              <a:xfrm>
                <a:off x="8773886" y="1611086"/>
                <a:ext cx="1676399" cy="576943"/>
                <a:chOff x="6651171" y="1698171"/>
                <a:chExt cx="1621971" cy="511629"/>
              </a:xfrm>
            </xdr:grpSpPr>
            <xdr:sp macro="" textlink="">
              <xdr:nvSpPr>
                <xdr:cNvPr id="49" name="Rectángulo: esquinas redondeadas 48">
                  <a:extLst>
                    <a:ext uri="{FF2B5EF4-FFF2-40B4-BE49-F238E27FC236}">
                      <a16:creationId xmlns:a16="http://schemas.microsoft.com/office/drawing/2014/main" id="{FF16B561-C00A-BE10-3BF4-FA251AD83522}"/>
                    </a:ext>
                  </a:extLst>
                </xdr:cNvPr>
                <xdr:cNvSpPr/>
              </xdr:nvSpPr>
              <xdr:spPr>
                <a:xfrm>
                  <a:off x="6651171" y="1698171"/>
                  <a:ext cx="1621971" cy="511629"/>
                </a:xfrm>
                <a:prstGeom prst="roundRect">
                  <a:avLst/>
                </a:prstGeom>
                <a:solidFill>
                  <a:schemeClr val="accent1">
                    <a:lumMod val="40000"/>
                    <a:lumOff val="60000"/>
                  </a:schemeClr>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0]!QuitarFiltros" textlink="">
              <xdr:nvSpPr>
                <xdr:cNvPr id="50" name="CuadroTexto 49">
                  <a:extLst>
                    <a:ext uri="{FF2B5EF4-FFF2-40B4-BE49-F238E27FC236}">
                      <a16:creationId xmlns:a16="http://schemas.microsoft.com/office/drawing/2014/main" id="{C086CBE9-1894-E7F4-8E18-CE9A1A18A65E}"/>
                    </a:ext>
                  </a:extLst>
                </xdr:cNvPr>
                <xdr:cNvSpPr txBox="1"/>
              </xdr:nvSpPr>
              <xdr:spPr>
                <a:xfrm>
                  <a:off x="6792686" y="1796143"/>
                  <a:ext cx="1262743"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1200">
                      <a:latin typeface="Segoe UI" panose="020B0502040204020203" pitchFamily="34" charset="0"/>
                      <a:cs typeface="Segoe UI" panose="020B0502040204020203" pitchFamily="34" charset="0"/>
                    </a:rPr>
                    <a:t>Quitar filtros</a:t>
                  </a:r>
                </a:p>
              </xdr:txBody>
            </xdr:sp>
          </xdr:grpSp>
        </xdr:grpSp>
        <xdr:pic>
          <xdr:nvPicPr>
            <xdr:cNvPr id="60" name="Imagen 59">
              <a:extLst>
                <a:ext uri="{FF2B5EF4-FFF2-40B4-BE49-F238E27FC236}">
                  <a16:creationId xmlns:a16="http://schemas.microsoft.com/office/drawing/2014/main" id="{F60165E8-4334-E7E0-9371-A701CF926D9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97770" y="486708"/>
              <a:ext cx="2113248" cy="2339710"/>
            </a:xfrm>
            <a:prstGeom prst="rect">
              <a:avLst/>
            </a:prstGeom>
            <a:ln>
              <a:noFill/>
            </a:ln>
          </xdr:spPr>
        </xdr:pic>
      </xdr:grpSp>
      <xdr:sp macro="" textlink="">
        <xdr:nvSpPr>
          <xdr:cNvPr id="62" name="CuadroTexto 61">
            <a:extLst>
              <a:ext uri="{FF2B5EF4-FFF2-40B4-BE49-F238E27FC236}">
                <a16:creationId xmlns:a16="http://schemas.microsoft.com/office/drawing/2014/main" id="{FF94EE20-62ED-E78D-0F80-6B4EE3145ABD}"/>
              </a:ext>
            </a:extLst>
          </xdr:cNvPr>
          <xdr:cNvSpPr txBox="1"/>
        </xdr:nvSpPr>
        <xdr:spPr>
          <a:xfrm>
            <a:off x="2383971" y="402771"/>
            <a:ext cx="5969422" cy="1110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2800">
                <a:latin typeface="Segoe UI" panose="020B0502040204020203" pitchFamily="34" charset="0"/>
                <a:cs typeface="Segoe UI" panose="020B0502040204020203" pitchFamily="34" charset="0"/>
              </a:rPr>
              <a:t>Taller</a:t>
            </a:r>
            <a:r>
              <a:rPr lang="es-AR" sz="2800" baseline="0">
                <a:latin typeface="Segoe UI" panose="020B0502040204020203" pitchFamily="34" charset="0"/>
                <a:cs typeface="Segoe UI" panose="020B0502040204020203" pitchFamily="34" charset="0"/>
              </a:rPr>
              <a:t> Curso de Excel 2026 - Trabajo Practico Integrador.</a:t>
            </a:r>
            <a:endParaRPr lang="es-AR" sz="2800">
              <a:latin typeface="Segoe UI" panose="020B0502040204020203" pitchFamily="34" charset="0"/>
              <a:cs typeface="Segoe UI" panose="020B0502040204020203" pitchFamily="34" charset="0"/>
            </a:endParaRPr>
          </a:p>
        </xdr:txBody>
      </xdr:sp>
      <xdr:sp macro="" textlink="">
        <xdr:nvSpPr>
          <xdr:cNvPr id="63" name="CuadroTexto 62">
            <a:extLst>
              <a:ext uri="{FF2B5EF4-FFF2-40B4-BE49-F238E27FC236}">
                <a16:creationId xmlns:a16="http://schemas.microsoft.com/office/drawing/2014/main" id="{8C5BD165-B244-4B82-89E5-B520F1FE9C18}"/>
              </a:ext>
            </a:extLst>
          </xdr:cNvPr>
          <xdr:cNvSpPr txBox="1"/>
        </xdr:nvSpPr>
        <xdr:spPr>
          <a:xfrm>
            <a:off x="2405744" y="1687286"/>
            <a:ext cx="4093027" cy="1153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2800">
                <a:latin typeface="Segoe UI" panose="020B0502040204020203" pitchFamily="34" charset="0"/>
                <a:cs typeface="Segoe UI" panose="020B0502040204020203" pitchFamily="34" charset="0"/>
              </a:rPr>
              <a:t>Nombre:</a:t>
            </a:r>
          </a:p>
          <a:p>
            <a:r>
              <a:rPr lang="es-AR" sz="2800">
                <a:latin typeface="Segoe UI" panose="020B0502040204020203" pitchFamily="34" charset="0"/>
                <a:cs typeface="Segoe UI" panose="020B0502040204020203" pitchFamily="34" charset="0"/>
              </a:rPr>
              <a:t>Vera</a:t>
            </a:r>
            <a:r>
              <a:rPr lang="es-AR" sz="2800" baseline="0">
                <a:latin typeface="Segoe UI" panose="020B0502040204020203" pitchFamily="34" charset="0"/>
                <a:cs typeface="Segoe UI" panose="020B0502040204020203" pitchFamily="34" charset="0"/>
              </a:rPr>
              <a:t> Franco Jesús Daniel</a:t>
            </a:r>
            <a:endParaRPr lang="es-AR" sz="2800">
              <a:latin typeface="Segoe UI" panose="020B0502040204020203" pitchFamily="34" charset="0"/>
              <a:cs typeface="Segoe UI" panose="020B0502040204020203" pitchFamily="34" charset="0"/>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o vera" refreshedDate="46230.550815625" createdVersion="8" refreshedVersion="8" minRefreshableVersion="3" recordCount="34" xr:uid="{5881B63C-4492-44B5-83AD-A8C896CDE0B0}">
  <cacheSource type="worksheet">
    <worksheetSource name="Tabla1"/>
  </cacheSource>
  <cacheFields count="15">
    <cacheField name="Fecha" numFmtId="14">
      <sharedItems containsSemiMixedTypes="0" containsNonDate="0" containsDate="1" containsString="0" minDate="2026-01-15T00:00:00" maxDate="2026-06-29T00:00:00" count="32">
        <d v="2026-01-15T00:00:00"/>
        <d v="2026-01-19T00:00:00"/>
        <d v="2026-02-05T00:00:00"/>
        <d v="2026-02-12T00:00:00"/>
        <d v="2026-02-22T00:00:00"/>
        <d v="2026-03-03T00:00:00"/>
        <d v="2026-03-14T00:00:00"/>
        <d v="2026-03-20T00:00:00"/>
        <d v="2026-04-04T00:00:00"/>
        <d v="2026-04-18T00:00:00"/>
        <d v="2026-04-19T00:00:00"/>
        <d v="2026-04-28T00:00:00"/>
        <d v="2026-04-29T00:00:00"/>
        <d v="2026-04-30T00:00:00"/>
        <d v="2026-05-03T00:00:00"/>
        <d v="2026-05-06T00:00:00"/>
        <d v="2026-05-07T00:00:00"/>
        <d v="2026-05-09T00:00:00"/>
        <d v="2026-05-10T00:00:00"/>
        <d v="2026-05-18T00:00:00"/>
        <d v="2026-05-19T00:00:00"/>
        <d v="2026-05-28T00:00:00"/>
        <d v="2026-05-29T00:00:00"/>
        <d v="2026-05-30T00:00:00"/>
        <d v="2026-06-03T00:00:00"/>
        <d v="2026-06-06T00:00:00"/>
        <d v="2026-06-07T00:00:00"/>
        <d v="2026-06-09T00:00:00"/>
        <d v="2026-06-10T00:00:00"/>
        <d v="2026-06-18T00:00:00"/>
        <d v="2026-06-19T00:00:00"/>
        <d v="2026-06-28T00:00:00"/>
      </sharedItems>
      <fieldGroup par="10"/>
    </cacheField>
    <cacheField name="ID_Cliente" numFmtId="0">
      <sharedItems/>
    </cacheField>
    <cacheField name="ID_Producto" numFmtId="0">
      <sharedItems count="7">
        <s v="PROD01"/>
        <s v="PROD03"/>
        <s v="PROD02"/>
        <s v="PROD05"/>
        <s v="PROD04"/>
        <s v="PROD06"/>
        <s v="PROD99"/>
      </sharedItems>
    </cacheField>
    <cacheField name="Cantidad" numFmtId="0">
      <sharedItems containsSemiMixedTypes="0" containsString="0" containsNumber="1" containsInteger="1" minValue="-2" maxValue="10"/>
    </cacheField>
    <cacheField name="Monto_Total" numFmtId="1">
      <sharedItems containsSemiMixedTypes="0" containsString="0" containsNumber="1" containsInteger="1" minValue="-600" maxValue="3600"/>
    </cacheField>
    <cacheField name="Vendedor" numFmtId="0">
      <sharedItems count="3">
        <s v="Carlos"/>
        <s v="Ana"/>
        <s v="Marta"/>
      </sharedItems>
    </cacheField>
    <cacheField name="Región" numFmtId="0">
      <sharedItems/>
    </cacheField>
    <cacheField name="Categoria_de_clientes" numFmtId="0">
      <sharedItems/>
    </cacheField>
    <cacheField name="Revisar_validacion" numFmtId="0">
      <sharedItems containsMixedTypes="1" containsNumber="1" containsInteger="1" minValue="-600" maxValue="3600"/>
    </cacheField>
    <cacheField name="Meses (Fecha)" numFmtId="0" databaseField="0">
      <fieldGroup base="0">
        <rangePr groupBy="months" startDate="2026-01-15T00:00:00" endDate="2026-06-29T00:00:00"/>
        <groupItems count="14">
          <s v="&lt;15/1/2026"/>
          <s v="ene"/>
          <s v="feb"/>
          <s v="mar"/>
          <s v="abr"/>
          <s v="may"/>
          <s v="jun"/>
          <s v="jul"/>
          <s v="ago"/>
          <s v="sept"/>
          <s v="oct"/>
          <s v="nov"/>
          <s v="dic"/>
          <s v="&gt;29/6/2026"/>
        </groupItems>
      </fieldGroup>
    </cacheField>
    <cacheField name="Trimestres (Fecha)" numFmtId="0" databaseField="0">
      <fieldGroup base="0">
        <rangePr groupBy="quarters" startDate="2026-01-15T00:00:00" endDate="2026-06-29T00:00:00"/>
        <groupItems count="6">
          <s v="&lt;15/1/2026"/>
          <s v="Trim.1"/>
          <s v="Trim.2"/>
          <s v="Trim.3"/>
          <s v="Trim.4"/>
          <s v="&gt;29/6/2026"/>
        </groupItems>
      </fieldGroup>
    </cacheField>
    <cacheField name="Campo_calculado" numFmtId="0" formula="Monto_Total*0.05" databaseField="0"/>
    <cacheField name="Mas_cinco_porciento" numFmtId="0" formula="Monto_Total*0.05" databaseField="0"/>
    <cacheField name="Comision_vendedor" numFmtId="0" formula="Monto_Total *0.05" databaseField="0"/>
    <cacheField name="GananciaEstimada" numFmtId="0" formula="Monto_Total *0.4" databaseField="0"/>
  </cacheFields>
  <extLst>
    <ext xmlns:x14="http://schemas.microsoft.com/office/spreadsheetml/2009/9/main" uri="{725AE2AE-9491-48be-B2B4-4EB974FC3084}">
      <x14:pivotCacheDefinition pivotCacheId="52033077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co vera" refreshedDate="46231.442739583334" backgroundQuery="1" createdVersion="8" refreshedVersion="8" minRefreshableVersion="3" recordCount="0" supportSubquery="1" supportAdvancedDrill="1" xr:uid="{54999CBC-EC52-4A04-950F-A14E56D629F8}">
  <cacheSource type="external" connectionId="1"/>
  <cacheFields count="3">
    <cacheField name="[Tabla1].[Fecha (mes)].[Fecha (mes)]" caption="Fecha (mes)" numFmtId="0" hierarchy="9" level="1">
      <sharedItems count="6">
        <s v="ene"/>
        <s v="feb"/>
        <s v="mar"/>
        <s v="abr"/>
        <s v="may"/>
        <s v="jun"/>
      </sharedItems>
    </cacheField>
    <cacheField name="[Measures].[Suma de Monto_Total]" caption="Suma de Monto_Total" numFmtId="0" hierarchy="19" level="32767"/>
    <cacheField name="[Tabla1].[Vendedor].[Vendedor]" caption="Vendedor" numFmtId="0" hierarchy="5" level="1">
      <sharedItems containsSemiMixedTypes="0" containsNonDate="0" containsString="0"/>
    </cacheField>
  </cacheFields>
  <cacheHierarchies count="21">
    <cacheHierarchy uniqueName="[Tabla1].[Fecha]" caption="Fecha" attribute="1" time="1" defaultMemberUniqueName="[Tabla1].[Fecha].[All]" allUniqueName="[Tabla1].[Fecha].[All]" dimensionUniqueName="[Tabla1]" displayFolder="" count="2" memberValueDatatype="7" unbalanced="0"/>
    <cacheHierarchy uniqueName="[Tabla1].[ID_Cliente]" caption="ID_Cliente" attribute="1" defaultMemberUniqueName="[Tabla1].[ID_Cliente].[All]" allUniqueName="[Tabla1].[ID_Cliente].[All]" dimensionUniqueName="[Tabla1]" displayFolder="" count="0" memberValueDatatype="130" unbalanced="0"/>
    <cacheHierarchy uniqueName="[Tabla1].[ID_Producto]" caption="ID_Producto" attribute="1" defaultMemberUniqueName="[Tabla1].[ID_Producto].[All]" allUniqueName="[Tabla1].[ID_Producto].[All]" dimensionUniqueName="[Tabla1]" displayFolder="" count="0" memberValueDatatype="130" unbalanced="0"/>
    <cacheHierarchy uniqueName="[Tabla1].[Cantidad]" caption="Cantidad" attribute="1" defaultMemberUniqueName="[Tabla1].[Cantidad].[All]" allUniqueName="[Tabla1].[Cantidad].[All]" dimensionUniqueName="[Tabla1]" displayFolder="" count="0" memberValueDatatype="20" unbalanced="0"/>
    <cacheHierarchy uniqueName="[Tabla1].[Monto_Total]" caption="Monto_Total" attribute="1" defaultMemberUniqueName="[Tabla1].[Monto_Total].[All]" allUniqueName="[Tabla1].[Monto_Total].[All]" dimensionUniqueName="[Tabla1]" displayFolder="" count="0" memberValueDatatype="20" unbalanced="0"/>
    <cacheHierarchy uniqueName="[Tabla1].[Vendedor]" caption="Vendedor" attribute="1" defaultMemberUniqueName="[Tabla1].[Vendedor].[All]" allUniqueName="[Tabla1].[Vendedor].[All]" dimensionUniqueName="[Tabla1]" displayFolder="" count="2" memberValueDatatype="130" unbalanced="0">
      <fieldsUsage count="2">
        <fieldUsage x="-1"/>
        <fieldUsage x="2"/>
      </fieldsUsage>
    </cacheHierarchy>
    <cacheHierarchy uniqueName="[Tabla1].[Región]" caption="Región" attribute="1" defaultMemberUniqueName="[Tabla1].[Región].[All]" allUniqueName="[Tabla1].[Región].[All]" dimensionUniqueName="[Tabla1]" displayFolder="" count="0" memberValueDatatype="130" unbalanced="0"/>
    <cacheHierarchy uniqueName="[Tabla1].[Categoria_de_clientes]" caption="Categoria_de_clientes" attribute="1" defaultMemberUniqueName="[Tabla1].[Categoria_de_clientes].[All]" allUniqueName="[Tabla1].[Categoria_de_clientes].[All]" dimensionUniqueName="[Tabla1]" displayFolder="" count="0" memberValueDatatype="130" unbalanced="0"/>
    <cacheHierarchy uniqueName="[Tabla1].[Revisar_validacion]" caption="Revisar_validacion" attribute="1" defaultMemberUniqueName="[Tabla1].[Revisar_validacion].[All]" allUniqueName="[Tabla1].[Revisar_validacion].[All]" dimensionUniqueName="[Tabla1]" displayFolder="" count="0" memberValueDatatype="130" unbalanced="0"/>
    <cacheHierarchy uniqueName="[Tabla1].[Fecha (mes)]" caption="Fecha (mes)" attribute="1" defaultMemberUniqueName="[Tabla1].[Fecha (mes)].[All]" allUniqueName="[Tabla1].[Fecha (mes)].[All]" dimensionUniqueName="[Tabla1]" displayFolder="" count="2" memberValueDatatype="130" unbalanced="0">
      <fieldsUsage count="2">
        <fieldUsage x="-1"/>
        <fieldUsage x="0"/>
      </fieldsUsage>
    </cacheHierarchy>
    <cacheHierarchy uniqueName="[Tabla2].[ID_Producto]" caption="ID_Producto" attribute="1" defaultMemberUniqueName="[Tabla2].[ID_Producto].[All]" allUniqueName="[Tabla2].[ID_Producto].[All]" dimensionUniqueName="[Tabla2]" displayFolder="" count="0" memberValueDatatype="130" unbalanced="0"/>
    <cacheHierarchy uniqueName="[Tabla2].[Producto]" caption="Producto" attribute="1" defaultMemberUniqueName="[Tabla2].[Producto].[All]" allUniqueName="[Tabla2].[Producto].[All]" dimensionUniqueName="[Tabla2]" displayFolder="" count="0" memberValueDatatype="130" unbalanced="0"/>
    <cacheHierarchy uniqueName="[Tabla2].[Categoria]" caption="Categoria" attribute="1" defaultMemberUniqueName="[Tabla2].[Categoria].[All]" allUniqueName="[Tabla2].[Categoria].[All]" dimensionUniqueName="[Tabla2]" displayFolder="" count="0" memberValueDatatype="130" unbalanced="0"/>
    <cacheHierarchy uniqueName="[Tabla2].[Precio_Unitario]" caption="Precio_Unitario" attribute="1" defaultMemberUniqueName="[Tabla2].[Precio_Unitario].[All]" allUniqueName="[Tabla2].[Precio_Unitario].[All]" dimensionUniqueName="[Tabla2]" displayFolder="" count="0" memberValueDatatype="20" unbalanced="0"/>
    <cacheHierarchy uniqueName="[Tabla1].[Fecha (índice de meses)]" caption="Fecha (índice de meses)" attribute="1" defaultMemberUniqueName="[Tabla1].[Fecha (índice de meses)].[All]" allUniqueName="[Tabla1].[Fecha (índice de meses)].[All]" dimensionUniqueName="[Tabla1]" displayFolder="" count="0" memberValueDatatype="20" unbalanced="0" hidden="1"/>
    <cacheHierarchy uniqueName="[Measures].[__XL_Count Tabla1]" caption="__XL_Count Tabla1" measure="1" displayFolder="" measureGroup="Tabla1" count="0" hidden="1"/>
    <cacheHierarchy uniqueName="[Measures].[__XL_Count Tabla2]" caption="__XL_Count Tabla2" measure="1" displayFolder="" measureGroup="Tabla2" count="0" hidden="1"/>
    <cacheHierarchy uniqueName="[Measures].[__No measures defined]" caption="__No measures defined" measure="1" displayFolder="" count="0" hidden="1"/>
    <cacheHierarchy uniqueName="[Measures].[Recuento de Monto_Total]" caption="Recuento de Monto_Total" measure="1" displayFolder="" measureGroup="Tabla1" count="0" hidden="1">
      <extLst>
        <ext xmlns:x15="http://schemas.microsoft.com/office/spreadsheetml/2010/11/main" uri="{B97F6D7D-B522-45F9-BDA1-12C45D357490}">
          <x15:cacheHierarchy aggregatedColumn="4"/>
        </ext>
      </extLst>
    </cacheHierarchy>
    <cacheHierarchy uniqueName="[Measures].[Suma de Monto_Total]" caption="Suma de Monto_Total" measure="1" displayFolder="" measureGroup="Tabla1" count="0" oneField="1" hidden="1">
      <fieldsUsage count="1">
        <fieldUsage x="1"/>
      </fieldsUsage>
      <extLst>
        <ext xmlns:x15="http://schemas.microsoft.com/office/spreadsheetml/2010/11/main" uri="{B97F6D7D-B522-45F9-BDA1-12C45D357490}">
          <x15:cacheHierarchy aggregatedColumn="4"/>
        </ext>
      </extLst>
    </cacheHierarchy>
    <cacheHierarchy uniqueName="[Measures].[Suma de Cantidad]" caption="Suma de Cantidad" measure="1" displayFolder="" measureGroup="Tabla1"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Tabla1" uniqueName="[Tabla1]" caption="Tabla1"/>
    <dimension name="Tabla2" uniqueName="[Tabla2]" caption="Tabla2"/>
  </dimensions>
  <measureGroups count="2">
    <measureGroup name="Tabla1" caption="Tabla1"/>
    <measureGroup name="Tabla2" caption="Tabla2"/>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co vera" refreshedDate="46231.442740509257" backgroundQuery="1" createdVersion="8" refreshedVersion="8" minRefreshableVersion="3" recordCount="0" supportSubquery="1" supportAdvancedDrill="1" xr:uid="{3F3C9975-0A32-4E91-B08B-78504FA5BAC4}">
  <cacheSource type="external" connectionId="1"/>
  <cacheFields count="3">
    <cacheField name="[Tabla2].[Categoria].[Categoria]" caption="Categoria" numFmtId="0" hierarchy="12" level="1">
      <sharedItems containsBlank="1" count="4">
        <s v="Audio"/>
        <s v="Oficina"/>
        <s v="Tecnología"/>
        <m u="1"/>
      </sharedItems>
    </cacheField>
    <cacheField name="[Measures].[Suma de Monto_Total]" caption="Suma de Monto_Total" numFmtId="0" hierarchy="19" level="32767"/>
    <cacheField name="[Tabla1].[Vendedor].[Vendedor]" caption="Vendedor" numFmtId="0" hierarchy="5" level="1">
      <sharedItems containsSemiMixedTypes="0" containsNonDate="0" containsString="0"/>
    </cacheField>
  </cacheFields>
  <cacheHierarchies count="21">
    <cacheHierarchy uniqueName="[Tabla1].[Fecha]" caption="Fecha" attribute="1" time="1" defaultMemberUniqueName="[Tabla1].[Fecha].[All]" allUniqueName="[Tabla1].[Fecha].[All]" dimensionUniqueName="[Tabla1]" displayFolder="" count="2" memberValueDatatype="7" unbalanced="0"/>
    <cacheHierarchy uniqueName="[Tabla1].[ID_Cliente]" caption="ID_Cliente" attribute="1" defaultMemberUniqueName="[Tabla1].[ID_Cliente].[All]" allUniqueName="[Tabla1].[ID_Cliente].[All]" dimensionUniqueName="[Tabla1]" displayFolder="" count="0" memberValueDatatype="130" unbalanced="0"/>
    <cacheHierarchy uniqueName="[Tabla1].[ID_Producto]" caption="ID_Producto" attribute="1" defaultMemberUniqueName="[Tabla1].[ID_Producto].[All]" allUniqueName="[Tabla1].[ID_Producto].[All]" dimensionUniqueName="[Tabla1]" displayFolder="" count="0" memberValueDatatype="130" unbalanced="0"/>
    <cacheHierarchy uniqueName="[Tabla1].[Cantidad]" caption="Cantidad" attribute="1" defaultMemberUniqueName="[Tabla1].[Cantidad].[All]" allUniqueName="[Tabla1].[Cantidad].[All]" dimensionUniqueName="[Tabla1]" displayFolder="" count="0" memberValueDatatype="20" unbalanced="0"/>
    <cacheHierarchy uniqueName="[Tabla1].[Monto_Total]" caption="Monto_Total" attribute="1" defaultMemberUniqueName="[Tabla1].[Monto_Total].[All]" allUniqueName="[Tabla1].[Monto_Total].[All]" dimensionUniqueName="[Tabla1]" displayFolder="" count="0" memberValueDatatype="20" unbalanced="0"/>
    <cacheHierarchy uniqueName="[Tabla1].[Vendedor]" caption="Vendedor" attribute="1" defaultMemberUniqueName="[Tabla1].[Vendedor].[All]" allUniqueName="[Tabla1].[Vendedor].[All]" dimensionUniqueName="[Tabla1]" displayFolder="" count="2" memberValueDatatype="130" unbalanced="0">
      <fieldsUsage count="2">
        <fieldUsage x="-1"/>
        <fieldUsage x="2"/>
      </fieldsUsage>
    </cacheHierarchy>
    <cacheHierarchy uniqueName="[Tabla1].[Región]" caption="Región" attribute="1" defaultMemberUniqueName="[Tabla1].[Región].[All]" allUniqueName="[Tabla1].[Región].[All]" dimensionUniqueName="[Tabla1]" displayFolder="" count="0" memberValueDatatype="130" unbalanced="0"/>
    <cacheHierarchy uniqueName="[Tabla1].[Categoria_de_clientes]" caption="Categoria_de_clientes" attribute="1" defaultMemberUniqueName="[Tabla1].[Categoria_de_clientes].[All]" allUniqueName="[Tabla1].[Categoria_de_clientes].[All]" dimensionUniqueName="[Tabla1]" displayFolder="" count="0" memberValueDatatype="130" unbalanced="0"/>
    <cacheHierarchy uniqueName="[Tabla1].[Revisar_validacion]" caption="Revisar_validacion" attribute="1" defaultMemberUniqueName="[Tabla1].[Revisar_validacion].[All]" allUniqueName="[Tabla1].[Revisar_validacion].[All]" dimensionUniqueName="[Tabla1]" displayFolder="" count="0" memberValueDatatype="130" unbalanced="0"/>
    <cacheHierarchy uniqueName="[Tabla1].[Fecha (mes)]" caption="Fecha (mes)" attribute="1" defaultMemberUniqueName="[Tabla1].[Fecha (mes)].[All]" allUniqueName="[Tabla1].[Fecha (mes)].[All]" dimensionUniqueName="[Tabla1]" displayFolder="" count="0" memberValueDatatype="130" unbalanced="0"/>
    <cacheHierarchy uniqueName="[Tabla2].[ID_Producto]" caption="ID_Producto" attribute="1" defaultMemberUniqueName="[Tabla2].[ID_Producto].[All]" allUniqueName="[Tabla2].[ID_Producto].[All]" dimensionUniqueName="[Tabla2]" displayFolder="" count="0" memberValueDatatype="130" unbalanced="0"/>
    <cacheHierarchy uniqueName="[Tabla2].[Producto]" caption="Producto" attribute="1" defaultMemberUniqueName="[Tabla2].[Producto].[All]" allUniqueName="[Tabla2].[Producto].[All]" dimensionUniqueName="[Tabla2]" displayFolder="" count="0" memberValueDatatype="130" unbalanced="0"/>
    <cacheHierarchy uniqueName="[Tabla2].[Categoria]" caption="Categoria" attribute="1" defaultMemberUniqueName="[Tabla2].[Categoria].[All]" allUniqueName="[Tabla2].[Categoria].[All]" dimensionUniqueName="[Tabla2]" displayFolder="" count="2" memberValueDatatype="130" unbalanced="0">
      <fieldsUsage count="2">
        <fieldUsage x="-1"/>
        <fieldUsage x="0"/>
      </fieldsUsage>
    </cacheHierarchy>
    <cacheHierarchy uniqueName="[Tabla2].[Precio_Unitario]" caption="Precio_Unitario" attribute="1" defaultMemberUniqueName="[Tabla2].[Precio_Unitario].[All]" allUniqueName="[Tabla2].[Precio_Unitario].[All]" dimensionUniqueName="[Tabla2]" displayFolder="" count="0" memberValueDatatype="20" unbalanced="0"/>
    <cacheHierarchy uniqueName="[Tabla1].[Fecha (índice de meses)]" caption="Fecha (índice de meses)" attribute="1" defaultMemberUniqueName="[Tabla1].[Fecha (índice de meses)].[All]" allUniqueName="[Tabla1].[Fecha (índice de meses)].[All]" dimensionUniqueName="[Tabla1]" displayFolder="" count="0" memberValueDatatype="20" unbalanced="0" hidden="1"/>
    <cacheHierarchy uniqueName="[Measures].[__XL_Count Tabla1]" caption="__XL_Count Tabla1" measure="1" displayFolder="" measureGroup="Tabla1" count="0" hidden="1"/>
    <cacheHierarchy uniqueName="[Measures].[__XL_Count Tabla2]" caption="__XL_Count Tabla2" measure="1" displayFolder="" measureGroup="Tabla2" count="0" hidden="1"/>
    <cacheHierarchy uniqueName="[Measures].[__No measures defined]" caption="__No measures defined" measure="1" displayFolder="" count="0" hidden="1"/>
    <cacheHierarchy uniqueName="[Measures].[Recuento de Monto_Total]" caption="Recuento de Monto_Total" measure="1" displayFolder="" measureGroup="Tabla1" count="0" hidden="1">
      <extLst>
        <ext xmlns:x15="http://schemas.microsoft.com/office/spreadsheetml/2010/11/main" uri="{B97F6D7D-B522-45F9-BDA1-12C45D357490}">
          <x15:cacheHierarchy aggregatedColumn="4"/>
        </ext>
      </extLst>
    </cacheHierarchy>
    <cacheHierarchy uniqueName="[Measures].[Suma de Monto_Total]" caption="Suma de Monto_Total" measure="1" displayFolder="" measureGroup="Tabla1" count="0" oneField="1" hidden="1">
      <fieldsUsage count="1">
        <fieldUsage x="1"/>
      </fieldsUsage>
      <extLst>
        <ext xmlns:x15="http://schemas.microsoft.com/office/spreadsheetml/2010/11/main" uri="{B97F6D7D-B522-45F9-BDA1-12C45D357490}">
          <x15:cacheHierarchy aggregatedColumn="4"/>
        </ext>
      </extLst>
    </cacheHierarchy>
    <cacheHierarchy uniqueName="[Measures].[Suma de Cantidad]" caption="Suma de Cantidad" measure="1" displayFolder="" measureGroup="Tabla1"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Tabla1" uniqueName="[Tabla1]" caption="Tabla1"/>
    <dimension name="Tabla2" uniqueName="[Tabla2]" caption="Tabla2"/>
  </dimensions>
  <measureGroups count="2">
    <measureGroup name="Tabla1" caption="Tabla1"/>
    <measureGroup name="Tabla2" caption="Tabla2"/>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co vera" refreshedDate="46231.442741203704" backgroundQuery="1" createdVersion="8" refreshedVersion="8" minRefreshableVersion="3" recordCount="0" supportSubquery="1" supportAdvancedDrill="1" xr:uid="{1FAA5289-E8D5-4A92-957A-6111C5434EFD}">
  <cacheSource type="external" connectionId="1"/>
  <cacheFields count="3">
    <cacheField name="[Tabla2].[Producto].[Producto]" caption="Producto" numFmtId="0" hierarchy="11" level="1">
      <sharedItems count="5">
        <s v="Auriculares Bluetooth"/>
        <s v="Laptop Tech"/>
        <s v="Monitor 24"/>
        <s v="Silla Ergonómica"/>
        <s v="Teclado Mecánico"/>
      </sharedItems>
    </cacheField>
    <cacheField name="[Measures].[Suma de Monto_Total]" caption="Suma de Monto_Total" numFmtId="0" hierarchy="19" level="32767"/>
    <cacheField name="[Tabla1].[Vendedor].[Vendedor]" caption="Vendedor" numFmtId="0" hierarchy="5" level="1">
      <sharedItems containsSemiMixedTypes="0" containsNonDate="0" containsString="0"/>
    </cacheField>
  </cacheFields>
  <cacheHierarchies count="21">
    <cacheHierarchy uniqueName="[Tabla1].[Fecha]" caption="Fecha" attribute="1" time="1" defaultMemberUniqueName="[Tabla1].[Fecha].[All]" allUniqueName="[Tabla1].[Fecha].[All]" dimensionUniqueName="[Tabla1]" displayFolder="" count="2" memberValueDatatype="7" unbalanced="0"/>
    <cacheHierarchy uniqueName="[Tabla1].[ID_Cliente]" caption="ID_Cliente" attribute="1" defaultMemberUniqueName="[Tabla1].[ID_Cliente].[All]" allUniqueName="[Tabla1].[ID_Cliente].[All]" dimensionUniqueName="[Tabla1]" displayFolder="" count="0" memberValueDatatype="130" unbalanced="0"/>
    <cacheHierarchy uniqueName="[Tabla1].[ID_Producto]" caption="ID_Producto" attribute="1" defaultMemberUniqueName="[Tabla1].[ID_Producto].[All]" allUniqueName="[Tabla1].[ID_Producto].[All]" dimensionUniqueName="[Tabla1]" displayFolder="" count="0" memberValueDatatype="130" unbalanced="0"/>
    <cacheHierarchy uniqueName="[Tabla1].[Cantidad]" caption="Cantidad" attribute="1" defaultMemberUniqueName="[Tabla1].[Cantidad].[All]" allUniqueName="[Tabla1].[Cantidad].[All]" dimensionUniqueName="[Tabla1]" displayFolder="" count="0" memberValueDatatype="20" unbalanced="0"/>
    <cacheHierarchy uniqueName="[Tabla1].[Monto_Total]" caption="Monto_Total" attribute="1" defaultMemberUniqueName="[Tabla1].[Monto_Total].[All]" allUniqueName="[Tabla1].[Monto_Total].[All]" dimensionUniqueName="[Tabla1]" displayFolder="" count="0" memberValueDatatype="20" unbalanced="0"/>
    <cacheHierarchy uniqueName="[Tabla1].[Vendedor]" caption="Vendedor" attribute="1" defaultMemberUniqueName="[Tabla1].[Vendedor].[All]" allUniqueName="[Tabla1].[Vendedor].[All]" dimensionUniqueName="[Tabla1]" displayFolder="" count="2" memberValueDatatype="130" unbalanced="0">
      <fieldsUsage count="2">
        <fieldUsage x="-1"/>
        <fieldUsage x="2"/>
      </fieldsUsage>
    </cacheHierarchy>
    <cacheHierarchy uniqueName="[Tabla1].[Región]" caption="Región" attribute="1" defaultMemberUniqueName="[Tabla1].[Región].[All]" allUniqueName="[Tabla1].[Región].[All]" dimensionUniqueName="[Tabla1]" displayFolder="" count="0" memberValueDatatype="130" unbalanced="0"/>
    <cacheHierarchy uniqueName="[Tabla1].[Categoria_de_clientes]" caption="Categoria_de_clientes" attribute="1" defaultMemberUniqueName="[Tabla1].[Categoria_de_clientes].[All]" allUniqueName="[Tabla1].[Categoria_de_clientes].[All]" dimensionUniqueName="[Tabla1]" displayFolder="" count="0" memberValueDatatype="130" unbalanced="0"/>
    <cacheHierarchy uniqueName="[Tabla1].[Revisar_validacion]" caption="Revisar_validacion" attribute="1" defaultMemberUniqueName="[Tabla1].[Revisar_validacion].[All]" allUniqueName="[Tabla1].[Revisar_validacion].[All]" dimensionUniqueName="[Tabla1]" displayFolder="" count="0" memberValueDatatype="130" unbalanced="0"/>
    <cacheHierarchy uniqueName="[Tabla1].[Fecha (mes)]" caption="Fecha (mes)" attribute="1" defaultMemberUniqueName="[Tabla1].[Fecha (mes)].[All]" allUniqueName="[Tabla1].[Fecha (mes)].[All]" dimensionUniqueName="[Tabla1]" displayFolder="" count="0" memberValueDatatype="130" unbalanced="0"/>
    <cacheHierarchy uniqueName="[Tabla2].[ID_Producto]" caption="ID_Producto" attribute="1" defaultMemberUniqueName="[Tabla2].[ID_Producto].[All]" allUniqueName="[Tabla2].[ID_Producto].[All]" dimensionUniqueName="[Tabla2]" displayFolder="" count="0" memberValueDatatype="130" unbalanced="0"/>
    <cacheHierarchy uniqueName="[Tabla2].[Producto]" caption="Producto" attribute="1" defaultMemberUniqueName="[Tabla2].[Producto].[All]" allUniqueName="[Tabla2].[Producto].[All]" dimensionUniqueName="[Tabla2]" displayFolder="" count="2" memberValueDatatype="130" unbalanced="0">
      <fieldsUsage count="2">
        <fieldUsage x="-1"/>
        <fieldUsage x="0"/>
      </fieldsUsage>
    </cacheHierarchy>
    <cacheHierarchy uniqueName="[Tabla2].[Categoria]" caption="Categoria" attribute="1" defaultMemberUniqueName="[Tabla2].[Categoria].[All]" allUniqueName="[Tabla2].[Categoria].[All]" dimensionUniqueName="[Tabla2]" displayFolder="" count="0" memberValueDatatype="130" unbalanced="0"/>
    <cacheHierarchy uniqueName="[Tabla2].[Precio_Unitario]" caption="Precio_Unitario" attribute="1" defaultMemberUniqueName="[Tabla2].[Precio_Unitario].[All]" allUniqueName="[Tabla2].[Precio_Unitario].[All]" dimensionUniqueName="[Tabla2]" displayFolder="" count="0" memberValueDatatype="20" unbalanced="0"/>
    <cacheHierarchy uniqueName="[Tabla1].[Fecha (índice de meses)]" caption="Fecha (índice de meses)" attribute="1" defaultMemberUniqueName="[Tabla1].[Fecha (índice de meses)].[All]" allUniqueName="[Tabla1].[Fecha (índice de meses)].[All]" dimensionUniqueName="[Tabla1]" displayFolder="" count="0" memberValueDatatype="20" unbalanced="0" hidden="1"/>
    <cacheHierarchy uniqueName="[Measures].[__XL_Count Tabla1]" caption="__XL_Count Tabla1" measure="1" displayFolder="" measureGroup="Tabla1" count="0" hidden="1"/>
    <cacheHierarchy uniqueName="[Measures].[__XL_Count Tabla2]" caption="__XL_Count Tabla2" measure="1" displayFolder="" measureGroup="Tabla2" count="0" hidden="1"/>
    <cacheHierarchy uniqueName="[Measures].[__No measures defined]" caption="__No measures defined" measure="1" displayFolder="" count="0" hidden="1"/>
    <cacheHierarchy uniqueName="[Measures].[Recuento de Monto_Total]" caption="Recuento de Monto_Total" measure="1" displayFolder="" measureGroup="Tabla1" count="0" hidden="1">
      <extLst>
        <ext xmlns:x15="http://schemas.microsoft.com/office/spreadsheetml/2010/11/main" uri="{B97F6D7D-B522-45F9-BDA1-12C45D357490}">
          <x15:cacheHierarchy aggregatedColumn="4"/>
        </ext>
      </extLst>
    </cacheHierarchy>
    <cacheHierarchy uniqueName="[Measures].[Suma de Monto_Total]" caption="Suma de Monto_Total" measure="1" displayFolder="" measureGroup="Tabla1" count="0" oneField="1" hidden="1">
      <fieldsUsage count="1">
        <fieldUsage x="1"/>
      </fieldsUsage>
      <extLst>
        <ext xmlns:x15="http://schemas.microsoft.com/office/spreadsheetml/2010/11/main" uri="{B97F6D7D-B522-45F9-BDA1-12C45D357490}">
          <x15:cacheHierarchy aggregatedColumn="4"/>
        </ext>
      </extLst>
    </cacheHierarchy>
    <cacheHierarchy uniqueName="[Measures].[Suma de Cantidad]" caption="Suma de Cantidad" measure="1" displayFolder="" measureGroup="Tabla1"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Tabla1" uniqueName="[Tabla1]" caption="Tabla1"/>
    <dimension name="Tabla2" uniqueName="[Tabla2]" caption="Tabla2"/>
  </dimensions>
  <measureGroups count="2">
    <measureGroup name="Tabla1" caption="Tabla1"/>
    <measureGroup name="Tabla2" caption="Tabla2"/>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co vera" refreshedDate="46231.442742361112" backgroundQuery="1" createdVersion="8" refreshedVersion="8" minRefreshableVersion="3" recordCount="0" supportSubquery="1" supportAdvancedDrill="1" xr:uid="{67DEA5F9-8EA0-41BF-B87F-F93D24145903}">
  <cacheSource type="external" connectionId="1"/>
  <cacheFields count="4">
    <cacheField name="[Tabla1].[Fecha (mes)].[Fecha (mes)]" caption="Fecha (mes)" numFmtId="0" hierarchy="9" level="1">
      <sharedItems count="6">
        <s v="ene"/>
        <s v="feb"/>
        <s v="mar"/>
        <s v="abr"/>
        <s v="may"/>
        <s v="jun"/>
      </sharedItems>
    </cacheField>
    <cacheField name="[Measures].[Suma de Monto_Total]" caption="Suma de Monto_Total" numFmtId="0" hierarchy="19" level="32767"/>
    <cacheField name="[Measures].[Suma de Cantidad]" caption="Suma de Cantidad" numFmtId="0" hierarchy="20" level="32767"/>
    <cacheField name="[Tabla1].[Vendedor].[Vendedor]" caption="Vendedor" numFmtId="0" hierarchy="5" level="1">
      <sharedItems containsSemiMixedTypes="0" containsNonDate="0" containsString="0"/>
    </cacheField>
  </cacheFields>
  <cacheHierarchies count="21">
    <cacheHierarchy uniqueName="[Tabla1].[Fecha]" caption="Fecha" attribute="1" time="1" defaultMemberUniqueName="[Tabla1].[Fecha].[All]" allUniqueName="[Tabla1].[Fecha].[All]" dimensionUniqueName="[Tabla1]" displayFolder="" count="2" memberValueDatatype="7" unbalanced="0"/>
    <cacheHierarchy uniqueName="[Tabla1].[ID_Cliente]" caption="ID_Cliente" attribute="1" defaultMemberUniqueName="[Tabla1].[ID_Cliente].[All]" allUniqueName="[Tabla1].[ID_Cliente].[All]" dimensionUniqueName="[Tabla1]" displayFolder="" count="0" memberValueDatatype="130" unbalanced="0"/>
    <cacheHierarchy uniqueName="[Tabla1].[ID_Producto]" caption="ID_Producto" attribute="1" defaultMemberUniqueName="[Tabla1].[ID_Producto].[All]" allUniqueName="[Tabla1].[ID_Producto].[All]" dimensionUniqueName="[Tabla1]" displayFolder="" count="0" memberValueDatatype="130" unbalanced="0"/>
    <cacheHierarchy uniqueName="[Tabla1].[Cantidad]" caption="Cantidad" attribute="1" defaultMemberUniqueName="[Tabla1].[Cantidad].[All]" allUniqueName="[Tabla1].[Cantidad].[All]" dimensionUniqueName="[Tabla1]" displayFolder="" count="0" memberValueDatatype="20" unbalanced="0"/>
    <cacheHierarchy uniqueName="[Tabla1].[Monto_Total]" caption="Monto_Total" attribute="1" defaultMemberUniqueName="[Tabla1].[Monto_Total].[All]" allUniqueName="[Tabla1].[Monto_Total].[All]" dimensionUniqueName="[Tabla1]" displayFolder="" count="0" memberValueDatatype="20" unbalanced="0"/>
    <cacheHierarchy uniqueName="[Tabla1].[Vendedor]" caption="Vendedor" attribute="1" defaultMemberUniqueName="[Tabla1].[Vendedor].[All]" allUniqueName="[Tabla1].[Vendedor].[All]" dimensionUniqueName="[Tabla1]" displayFolder="" count="2" memberValueDatatype="130" unbalanced="0">
      <fieldsUsage count="2">
        <fieldUsage x="-1"/>
        <fieldUsage x="3"/>
      </fieldsUsage>
    </cacheHierarchy>
    <cacheHierarchy uniqueName="[Tabla1].[Región]" caption="Región" attribute="1" defaultMemberUniqueName="[Tabla1].[Región].[All]" allUniqueName="[Tabla1].[Región].[All]" dimensionUniqueName="[Tabla1]" displayFolder="" count="0" memberValueDatatype="130" unbalanced="0"/>
    <cacheHierarchy uniqueName="[Tabla1].[Categoria_de_clientes]" caption="Categoria_de_clientes" attribute="1" defaultMemberUniqueName="[Tabla1].[Categoria_de_clientes].[All]" allUniqueName="[Tabla1].[Categoria_de_clientes].[All]" dimensionUniqueName="[Tabla1]" displayFolder="" count="0" memberValueDatatype="130" unbalanced="0"/>
    <cacheHierarchy uniqueName="[Tabla1].[Revisar_validacion]" caption="Revisar_validacion" attribute="1" defaultMemberUniqueName="[Tabla1].[Revisar_validacion].[All]" allUniqueName="[Tabla1].[Revisar_validacion].[All]" dimensionUniqueName="[Tabla1]" displayFolder="" count="0" memberValueDatatype="130" unbalanced="0"/>
    <cacheHierarchy uniqueName="[Tabla1].[Fecha (mes)]" caption="Fecha (mes)" attribute="1" defaultMemberUniqueName="[Tabla1].[Fecha (mes)].[All]" allUniqueName="[Tabla1].[Fecha (mes)].[All]" dimensionUniqueName="[Tabla1]" displayFolder="" count="2" memberValueDatatype="130" unbalanced="0">
      <fieldsUsage count="2">
        <fieldUsage x="-1"/>
        <fieldUsage x="0"/>
      </fieldsUsage>
    </cacheHierarchy>
    <cacheHierarchy uniqueName="[Tabla2].[ID_Producto]" caption="ID_Producto" attribute="1" defaultMemberUniqueName="[Tabla2].[ID_Producto].[All]" allUniqueName="[Tabla2].[ID_Producto].[All]" dimensionUniqueName="[Tabla2]" displayFolder="" count="0" memberValueDatatype="130" unbalanced="0"/>
    <cacheHierarchy uniqueName="[Tabla2].[Producto]" caption="Producto" attribute="1" defaultMemberUniqueName="[Tabla2].[Producto].[All]" allUniqueName="[Tabla2].[Producto].[All]" dimensionUniqueName="[Tabla2]" displayFolder="" count="0" memberValueDatatype="130" unbalanced="0"/>
    <cacheHierarchy uniqueName="[Tabla2].[Categoria]" caption="Categoria" attribute="1" defaultMemberUniqueName="[Tabla2].[Categoria].[All]" allUniqueName="[Tabla2].[Categoria].[All]" dimensionUniqueName="[Tabla2]" displayFolder="" count="0" memberValueDatatype="130" unbalanced="0"/>
    <cacheHierarchy uniqueName="[Tabla2].[Precio_Unitario]" caption="Precio_Unitario" attribute="1" defaultMemberUniqueName="[Tabla2].[Precio_Unitario].[All]" allUniqueName="[Tabla2].[Precio_Unitario].[All]" dimensionUniqueName="[Tabla2]" displayFolder="" count="0" memberValueDatatype="20" unbalanced="0"/>
    <cacheHierarchy uniqueName="[Tabla1].[Fecha (índice de meses)]" caption="Fecha (índice de meses)" attribute="1" defaultMemberUniqueName="[Tabla1].[Fecha (índice de meses)].[All]" allUniqueName="[Tabla1].[Fecha (índice de meses)].[All]" dimensionUniqueName="[Tabla1]" displayFolder="" count="0" memberValueDatatype="20" unbalanced="0" hidden="1"/>
    <cacheHierarchy uniqueName="[Measures].[__XL_Count Tabla1]" caption="__XL_Count Tabla1" measure="1" displayFolder="" measureGroup="Tabla1" count="0" hidden="1"/>
    <cacheHierarchy uniqueName="[Measures].[__XL_Count Tabla2]" caption="__XL_Count Tabla2" measure="1" displayFolder="" measureGroup="Tabla2" count="0" hidden="1"/>
    <cacheHierarchy uniqueName="[Measures].[__No measures defined]" caption="__No measures defined" measure="1" displayFolder="" count="0" hidden="1"/>
    <cacheHierarchy uniqueName="[Measures].[Recuento de Monto_Total]" caption="Recuento de Monto_Total" measure="1" displayFolder="" measureGroup="Tabla1" count="0" hidden="1">
      <extLst>
        <ext xmlns:x15="http://schemas.microsoft.com/office/spreadsheetml/2010/11/main" uri="{B97F6D7D-B522-45F9-BDA1-12C45D357490}">
          <x15:cacheHierarchy aggregatedColumn="4"/>
        </ext>
      </extLst>
    </cacheHierarchy>
    <cacheHierarchy uniqueName="[Measures].[Suma de Monto_Total]" caption="Suma de Monto_Total" measure="1" displayFolder="" measureGroup="Tabla1" count="0" oneField="1" hidden="1">
      <fieldsUsage count="1">
        <fieldUsage x="1"/>
      </fieldsUsage>
      <extLst>
        <ext xmlns:x15="http://schemas.microsoft.com/office/spreadsheetml/2010/11/main" uri="{B97F6D7D-B522-45F9-BDA1-12C45D357490}">
          <x15:cacheHierarchy aggregatedColumn="4"/>
        </ext>
      </extLst>
    </cacheHierarchy>
    <cacheHierarchy uniqueName="[Measures].[Suma de Cantidad]" caption="Suma de Cantidad" measure="1" displayFolder="" measureGroup="Tabla1"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Tabla1" uniqueName="[Tabla1]" caption="Tabla1"/>
    <dimension name="Tabla2" uniqueName="[Tabla2]" caption="Tabla2"/>
  </dimensions>
  <measureGroups count="2">
    <measureGroup name="Tabla1" caption="Tabla1"/>
    <measureGroup name="Tabla2" caption="Tabla2"/>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co vera" refreshedDate="46230.552630555554" backgroundQuery="1" createdVersion="3" refreshedVersion="8" minRefreshableVersion="3" recordCount="0" supportSubquery="1" supportAdvancedDrill="1" xr:uid="{49756B5C-997B-45BB-B4F1-093577014D72}">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Tabla1].[Fecha]" caption="Fecha" attribute="1" time="1" defaultMemberUniqueName="[Tabla1].[Fecha].[All]" allUniqueName="[Tabla1].[Fecha].[All]" dimensionUniqueName="[Tabla1]" displayFolder="" count="0" memberValueDatatype="7" unbalanced="0"/>
    <cacheHierarchy uniqueName="[Tabla1].[ID_Cliente]" caption="ID_Cliente" attribute="1" defaultMemberUniqueName="[Tabla1].[ID_Cliente].[All]" allUniqueName="[Tabla1].[ID_Cliente].[All]" dimensionUniqueName="[Tabla1]" displayFolder="" count="0" memberValueDatatype="130" unbalanced="0"/>
    <cacheHierarchy uniqueName="[Tabla1].[ID_Producto]" caption="ID_Producto" attribute="1" defaultMemberUniqueName="[Tabla1].[ID_Producto].[All]" allUniqueName="[Tabla1].[ID_Producto].[All]" dimensionUniqueName="[Tabla1]" displayFolder="" count="0" memberValueDatatype="130" unbalanced="0"/>
    <cacheHierarchy uniqueName="[Tabla1].[Cantidad]" caption="Cantidad" attribute="1" defaultMemberUniqueName="[Tabla1].[Cantidad].[All]" allUniqueName="[Tabla1].[Cantidad].[All]" dimensionUniqueName="[Tabla1]" displayFolder="" count="0" memberValueDatatype="20" unbalanced="0"/>
    <cacheHierarchy uniqueName="[Tabla1].[Monto_Total]" caption="Monto_Total" attribute="1" defaultMemberUniqueName="[Tabla1].[Monto_Total].[All]" allUniqueName="[Tabla1].[Monto_Total].[All]" dimensionUniqueName="[Tabla1]" displayFolder="" count="0" memberValueDatatype="20" unbalanced="0"/>
    <cacheHierarchy uniqueName="[Tabla1].[Vendedor]" caption="Vendedor" attribute="1" defaultMemberUniqueName="[Tabla1].[Vendedor].[All]" allUniqueName="[Tabla1].[Vendedor].[All]" dimensionUniqueName="[Tabla1]" displayFolder="" count="2" memberValueDatatype="130" unbalanced="0"/>
    <cacheHierarchy uniqueName="[Tabla1].[Región]" caption="Región" attribute="1" defaultMemberUniqueName="[Tabla1].[Región].[All]" allUniqueName="[Tabla1].[Región].[All]" dimensionUniqueName="[Tabla1]" displayFolder="" count="0" memberValueDatatype="130" unbalanced="0"/>
    <cacheHierarchy uniqueName="[Tabla1].[Categoria_de_clientes]" caption="Categoria_de_clientes" attribute="1" defaultMemberUniqueName="[Tabla1].[Categoria_de_clientes].[All]" allUniqueName="[Tabla1].[Categoria_de_clientes].[All]" dimensionUniqueName="[Tabla1]" displayFolder="" count="0" memberValueDatatype="130" unbalanced="0"/>
    <cacheHierarchy uniqueName="[Tabla1].[Revisar_validacion]" caption="Revisar_validacion" attribute="1" defaultMemberUniqueName="[Tabla1].[Revisar_validacion].[All]" allUniqueName="[Tabla1].[Revisar_validacion].[All]" dimensionUniqueName="[Tabla1]" displayFolder="" count="0" memberValueDatatype="130" unbalanced="0"/>
    <cacheHierarchy uniqueName="[Tabla1].[Fecha (mes)]" caption="Fecha (mes)" attribute="1" defaultMemberUniqueName="[Tabla1].[Fecha (mes)].[All]" allUniqueName="[Tabla1].[Fecha (mes)].[All]" dimensionUniqueName="[Tabla1]" displayFolder="" count="0" memberValueDatatype="130" unbalanced="0"/>
    <cacheHierarchy uniqueName="[Tabla2].[ID_Producto]" caption="ID_Producto" attribute="1" defaultMemberUniqueName="[Tabla2].[ID_Producto].[All]" allUniqueName="[Tabla2].[ID_Producto].[All]" dimensionUniqueName="[Tabla2]" displayFolder="" count="0" memberValueDatatype="130" unbalanced="0"/>
    <cacheHierarchy uniqueName="[Tabla2].[Producto]" caption="Producto" attribute="1" defaultMemberUniqueName="[Tabla2].[Producto].[All]" allUniqueName="[Tabla2].[Producto].[All]" dimensionUniqueName="[Tabla2]" displayFolder="" count="0" memberValueDatatype="130" unbalanced="0"/>
    <cacheHierarchy uniqueName="[Tabla2].[Categoria]" caption="Categoria" attribute="1" defaultMemberUniqueName="[Tabla2].[Categoria].[All]" allUniqueName="[Tabla2].[Categoria].[All]" dimensionUniqueName="[Tabla2]" displayFolder="" count="0" memberValueDatatype="130" unbalanced="0"/>
    <cacheHierarchy uniqueName="[Tabla2].[Precio_Unitario]" caption="Precio_Unitario" attribute="1" defaultMemberUniqueName="[Tabla2].[Precio_Unitario].[All]" allUniqueName="[Tabla2].[Precio_Unitario].[All]" dimensionUniqueName="[Tabla2]" displayFolder="" count="0" memberValueDatatype="20" unbalanced="0"/>
    <cacheHierarchy uniqueName="[Tabla1].[Fecha (índice de meses)]" caption="Fecha (índice de meses)" attribute="1" defaultMemberUniqueName="[Tabla1].[Fecha (índice de meses)].[All]" allUniqueName="[Tabla1].[Fecha (índice de meses)].[All]" dimensionUniqueName="[Tabla1]" displayFolder="" count="0" memberValueDatatype="20" unbalanced="0" hidden="1"/>
    <cacheHierarchy uniqueName="[Measures].[__XL_Count Tabla1]" caption="__XL_Count Tabla1" measure="1" displayFolder="" measureGroup="Tabla1" count="0" hidden="1"/>
    <cacheHierarchy uniqueName="[Measures].[__XL_Count Tabla2]" caption="__XL_Count Tabla2" measure="1" displayFolder="" measureGroup="Tabla2" count="0" hidden="1"/>
    <cacheHierarchy uniqueName="[Measures].[__No measures defined]" caption="__No measures defined" measure="1" displayFolder="" count="0" hidden="1"/>
    <cacheHierarchy uniqueName="[Measures].[Recuento de Monto_Total]" caption="Recuento de Monto_Total" measure="1" displayFolder="" measureGroup="Tabla1" count="0" hidden="1">
      <extLst>
        <ext xmlns:x15="http://schemas.microsoft.com/office/spreadsheetml/2010/11/main" uri="{B97F6D7D-B522-45F9-BDA1-12C45D357490}">
          <x15:cacheHierarchy aggregatedColumn="4"/>
        </ext>
      </extLst>
    </cacheHierarchy>
    <cacheHierarchy uniqueName="[Measures].[Suma de Monto_Total]" caption="Suma de Monto_Total" measure="1" displayFolder="" measureGroup="Tabla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97222561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co vera" refreshedDate="46230.552305787038" backgroundQuery="1" createdVersion="3" refreshedVersion="8" minRefreshableVersion="3" recordCount="0" supportSubquery="1" supportAdvancedDrill="1" xr:uid="{DD395A4C-0984-438D-9E3F-1201EC393C35}">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Tabla1].[Fecha]" caption="Fecha" attribute="1" time="1" defaultMemberUniqueName="[Tabla1].[Fecha].[All]" allUniqueName="[Tabla1].[Fecha].[All]" dimensionUniqueName="[Tabla1]" displayFolder="" count="2" memberValueDatatype="7" unbalanced="0"/>
    <cacheHierarchy uniqueName="[Tabla1].[ID_Cliente]" caption="ID_Cliente" attribute="1" defaultMemberUniqueName="[Tabla1].[ID_Cliente].[All]" allUniqueName="[Tabla1].[ID_Cliente].[All]" dimensionUniqueName="[Tabla1]" displayFolder="" count="0" memberValueDatatype="130" unbalanced="0"/>
    <cacheHierarchy uniqueName="[Tabla1].[ID_Producto]" caption="ID_Producto" attribute="1" defaultMemberUniqueName="[Tabla1].[ID_Producto].[All]" allUniqueName="[Tabla1].[ID_Producto].[All]" dimensionUniqueName="[Tabla1]" displayFolder="" count="0" memberValueDatatype="130" unbalanced="0"/>
    <cacheHierarchy uniqueName="[Tabla1].[Cantidad]" caption="Cantidad" attribute="1" defaultMemberUniqueName="[Tabla1].[Cantidad].[All]" allUniqueName="[Tabla1].[Cantidad].[All]" dimensionUniqueName="[Tabla1]" displayFolder="" count="0" memberValueDatatype="20" unbalanced="0"/>
    <cacheHierarchy uniqueName="[Tabla1].[Monto_Total]" caption="Monto_Total" attribute="1" defaultMemberUniqueName="[Tabla1].[Monto_Total].[All]" allUniqueName="[Tabla1].[Monto_Total].[All]" dimensionUniqueName="[Tabla1]" displayFolder="" count="0" memberValueDatatype="20" unbalanced="0"/>
    <cacheHierarchy uniqueName="[Tabla1].[Vendedor]" caption="Vendedor" attribute="1" defaultMemberUniqueName="[Tabla1].[Vendedor].[All]" allUniqueName="[Tabla1].[Vendedor].[All]" dimensionUniqueName="[Tabla1]" displayFolder="" count="0" memberValueDatatype="130" unbalanced="0"/>
    <cacheHierarchy uniqueName="[Tabla1].[Región]" caption="Región" attribute="1" defaultMemberUniqueName="[Tabla1].[Región].[All]" allUniqueName="[Tabla1].[Región].[All]" dimensionUniqueName="[Tabla1]" displayFolder="" count="0" memberValueDatatype="130" unbalanced="0"/>
    <cacheHierarchy uniqueName="[Tabla1].[Categoria_de_clientes]" caption="Categoria_de_clientes" attribute="1" defaultMemberUniqueName="[Tabla1].[Categoria_de_clientes].[All]" allUniqueName="[Tabla1].[Categoria_de_clientes].[All]" dimensionUniqueName="[Tabla1]" displayFolder="" count="0" memberValueDatatype="130" unbalanced="0"/>
    <cacheHierarchy uniqueName="[Tabla1].[Revisar_validacion]" caption="Revisar_validacion" attribute="1" defaultMemberUniqueName="[Tabla1].[Revisar_validacion].[All]" allUniqueName="[Tabla1].[Revisar_validacion].[All]" dimensionUniqueName="[Tabla1]" displayFolder="" count="0" memberValueDatatype="130" unbalanced="0"/>
    <cacheHierarchy uniqueName="[Tabla1].[Fecha (mes)]" caption="Fecha (mes)" attribute="1" defaultMemberUniqueName="[Tabla1].[Fecha (mes)].[All]" allUniqueName="[Tabla1].[Fecha (mes)].[All]" dimensionUniqueName="[Tabla1]" displayFolder="" count="0" memberValueDatatype="130" unbalanced="0"/>
    <cacheHierarchy uniqueName="[Tabla2].[ID_Producto]" caption="ID_Producto" attribute="1" defaultMemberUniqueName="[Tabla2].[ID_Producto].[All]" allUniqueName="[Tabla2].[ID_Producto].[All]" dimensionUniqueName="[Tabla2]" displayFolder="" count="0" memberValueDatatype="130" unbalanced="0"/>
    <cacheHierarchy uniqueName="[Tabla2].[Producto]" caption="Producto" attribute="1" defaultMemberUniqueName="[Tabla2].[Producto].[All]" allUniqueName="[Tabla2].[Producto].[All]" dimensionUniqueName="[Tabla2]" displayFolder="" count="0" memberValueDatatype="130" unbalanced="0"/>
    <cacheHierarchy uniqueName="[Tabla2].[Categoria]" caption="Categoria" attribute="1" defaultMemberUniqueName="[Tabla2].[Categoria].[All]" allUniqueName="[Tabla2].[Categoria].[All]" dimensionUniqueName="[Tabla2]" displayFolder="" count="0" memberValueDatatype="130" unbalanced="0"/>
    <cacheHierarchy uniqueName="[Tabla2].[Precio_Unitario]" caption="Precio_Unitario" attribute="1" defaultMemberUniqueName="[Tabla2].[Precio_Unitario].[All]" allUniqueName="[Tabla2].[Precio_Unitario].[All]" dimensionUniqueName="[Tabla2]" displayFolder="" count="0" memberValueDatatype="20" unbalanced="0"/>
    <cacheHierarchy uniqueName="[Tabla1].[Fecha (índice de meses)]" caption="Fecha (índice de meses)" attribute="1" defaultMemberUniqueName="[Tabla1].[Fecha (índice de meses)].[All]" allUniqueName="[Tabla1].[Fecha (índice de meses)].[All]" dimensionUniqueName="[Tabla1]" displayFolder="" count="0" memberValueDatatype="20" unbalanced="0" hidden="1"/>
    <cacheHierarchy uniqueName="[Measures].[__XL_Count Tabla1]" caption="__XL_Count Tabla1" measure="1" displayFolder="" measureGroup="Tabla1" count="0" hidden="1"/>
    <cacheHierarchy uniqueName="[Measures].[__XL_Count Tabla2]" caption="__XL_Count Tabla2" measure="1" displayFolder="" measureGroup="Tabla2" count="0" hidden="1"/>
    <cacheHierarchy uniqueName="[Measures].[__No measures defined]" caption="__No measures defined" measure="1" displayFolder="" count="0" hidden="1"/>
    <cacheHierarchy uniqueName="[Measures].[Recuento de Monto_Total]" caption="Recuento de Monto_Total" measure="1" displayFolder="" measureGroup="Tabla1" count="0" hidden="1">
      <extLst>
        <ext xmlns:x15="http://schemas.microsoft.com/office/spreadsheetml/2010/11/main" uri="{B97F6D7D-B522-45F9-BDA1-12C45D357490}">
          <x15:cacheHierarchy aggregatedColumn="4"/>
        </ext>
      </extLst>
    </cacheHierarchy>
    <cacheHierarchy uniqueName="[Measures].[Suma de Monto_Total]" caption="Suma de Monto_Total" measure="1" displayFolder="" measureGroup="Tabla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pivotCacheId="165609031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s v="CLI101"/>
    <x v="0"/>
    <n v="1"/>
    <n v="1200"/>
    <x v="0"/>
    <s v="Norte"/>
    <s v="Regular"/>
    <n v="1200"/>
  </r>
  <r>
    <x v="1"/>
    <s v="CLI102"/>
    <x v="1"/>
    <n v="2"/>
    <n v="300"/>
    <x v="1"/>
    <s v="Sur"/>
    <s v="Minorista"/>
    <n v="300"/>
  </r>
  <r>
    <x v="2"/>
    <s v="CLI103"/>
    <x v="2"/>
    <n v="1"/>
    <n v="300"/>
    <x v="0"/>
    <s v="Norte"/>
    <s v="Minorista"/>
    <n v="300"/>
  </r>
  <r>
    <x v="3"/>
    <s v="CLI101"/>
    <x v="2"/>
    <n v="1"/>
    <n v="300"/>
    <x v="2"/>
    <s v="Este"/>
    <s v="Regular"/>
    <n v="300"/>
  </r>
  <r>
    <x v="4"/>
    <s v="CLI104"/>
    <x v="3"/>
    <n v="10"/>
    <n v="800"/>
    <x v="1"/>
    <s v="Sur"/>
    <s v="Minorista"/>
    <n v="800"/>
  </r>
  <r>
    <x v="5"/>
    <s v="CLI105"/>
    <x v="4"/>
    <n v="1"/>
    <n v="250"/>
    <x v="2"/>
    <s v="Este"/>
    <s v="Minorista"/>
    <n v="250"/>
  </r>
  <r>
    <x v="6"/>
    <s v="CLI102"/>
    <x v="1"/>
    <n v="-1"/>
    <n v="-150"/>
    <x v="1"/>
    <s v="Sur"/>
    <s v="Minorista"/>
    <n v="-150"/>
  </r>
  <r>
    <x v="7"/>
    <s v="CLI106"/>
    <x v="0"/>
    <n v="3"/>
    <n v="3600"/>
    <x v="0"/>
    <s v="Norte"/>
    <s v="Premium"/>
    <n v="3600"/>
  </r>
  <r>
    <x v="8"/>
    <s v="CLI107"/>
    <x v="5"/>
    <n v="5"/>
    <n v="350"/>
    <x v="2"/>
    <s v="Este"/>
    <s v="Minorista"/>
    <n v="350"/>
  </r>
  <r>
    <x v="9"/>
    <s v="CLI101"/>
    <x v="2"/>
    <n v="2"/>
    <n v="600"/>
    <x v="0"/>
    <s v="Norte"/>
    <s v="Regular"/>
    <n v="600"/>
  </r>
  <r>
    <x v="9"/>
    <s v="CLI101"/>
    <x v="0"/>
    <n v="1"/>
    <n v="1200"/>
    <x v="0"/>
    <s v="Norte"/>
    <s v="Regular"/>
    <n v="1200"/>
  </r>
  <r>
    <x v="10"/>
    <s v="CLI102"/>
    <x v="1"/>
    <n v="2"/>
    <n v="300"/>
    <x v="1"/>
    <s v="Sur"/>
    <s v="Minorista"/>
    <n v="300"/>
  </r>
  <r>
    <x v="11"/>
    <s v="CLI103"/>
    <x v="2"/>
    <n v="1"/>
    <n v="300"/>
    <x v="0"/>
    <s v="Norte"/>
    <s v="Minorista"/>
    <n v="300"/>
  </r>
  <r>
    <x v="12"/>
    <s v="CLI101"/>
    <x v="6"/>
    <n v="1"/>
    <n v="0"/>
    <x v="2"/>
    <s v="Este"/>
    <s v="Regular"/>
    <s v="Revisar Catalogo"/>
  </r>
  <r>
    <x v="13"/>
    <s v="CLI104"/>
    <x v="3"/>
    <n v="10"/>
    <n v="800"/>
    <x v="1"/>
    <s v="Sur"/>
    <s v="Minorista"/>
    <n v="800"/>
  </r>
  <r>
    <x v="14"/>
    <s v="CLI105"/>
    <x v="4"/>
    <n v="1"/>
    <n v="250"/>
    <x v="2"/>
    <s v="Este"/>
    <s v="Minorista"/>
    <n v="250"/>
  </r>
  <r>
    <x v="15"/>
    <s v="CLI102"/>
    <x v="1"/>
    <n v="1"/>
    <n v="150"/>
    <x v="1"/>
    <s v="Sur"/>
    <s v="Minorista"/>
    <n v="150"/>
  </r>
  <r>
    <x v="16"/>
    <s v="CLI106"/>
    <x v="0"/>
    <n v="3"/>
    <n v="3600"/>
    <x v="0"/>
    <s v="Norte"/>
    <s v="Premium"/>
    <n v="3600"/>
  </r>
  <r>
    <x v="17"/>
    <s v="CLI107"/>
    <x v="5"/>
    <n v="5"/>
    <n v="350"/>
    <x v="2"/>
    <s v="Este"/>
    <s v="Minorista"/>
    <n v="350"/>
  </r>
  <r>
    <x v="18"/>
    <s v="CLI101"/>
    <x v="2"/>
    <n v="2"/>
    <n v="600"/>
    <x v="0"/>
    <s v="Norte"/>
    <s v="Regular"/>
    <n v="600"/>
  </r>
  <r>
    <x v="19"/>
    <s v="CLI101"/>
    <x v="0"/>
    <n v="1"/>
    <n v="1200"/>
    <x v="0"/>
    <s v="Norte"/>
    <s v="Regular"/>
    <n v="1200"/>
  </r>
  <r>
    <x v="20"/>
    <s v="CLI102"/>
    <x v="1"/>
    <n v="2"/>
    <n v="300"/>
    <x v="1"/>
    <s v="Sur"/>
    <s v="Minorista"/>
    <n v="300"/>
  </r>
  <r>
    <x v="21"/>
    <s v="CLI103"/>
    <x v="2"/>
    <n v="1"/>
    <n v="300"/>
    <x v="0"/>
    <s v="Norte"/>
    <s v="Minorista"/>
    <n v="300"/>
  </r>
  <r>
    <x v="22"/>
    <s v="CLI101"/>
    <x v="2"/>
    <n v="-2"/>
    <n v="-600"/>
    <x v="2"/>
    <s v="Este"/>
    <s v="Regular"/>
    <n v="-600"/>
  </r>
  <r>
    <x v="23"/>
    <s v="CLI104"/>
    <x v="3"/>
    <n v="10"/>
    <n v="800"/>
    <x v="1"/>
    <s v="Sur"/>
    <s v="Minorista"/>
    <n v="800"/>
  </r>
  <r>
    <x v="24"/>
    <s v="CLI105"/>
    <x v="4"/>
    <n v="-1"/>
    <n v="-250"/>
    <x v="2"/>
    <s v="Este"/>
    <s v="Minorista"/>
    <n v="-250"/>
  </r>
  <r>
    <x v="25"/>
    <s v="CLI102"/>
    <x v="1"/>
    <n v="3"/>
    <n v="450"/>
    <x v="1"/>
    <s v="Sur"/>
    <s v="Minorista"/>
    <n v="450"/>
  </r>
  <r>
    <x v="26"/>
    <s v="CLI106"/>
    <x v="0"/>
    <n v="3"/>
    <n v="3600"/>
    <x v="0"/>
    <s v="Norte"/>
    <s v="Premium"/>
    <n v="3600"/>
  </r>
  <r>
    <x v="27"/>
    <s v="CLI107"/>
    <x v="5"/>
    <n v="5"/>
    <n v="350"/>
    <x v="2"/>
    <s v="Este"/>
    <s v="Minorista"/>
    <n v="350"/>
  </r>
  <r>
    <x v="28"/>
    <s v="CLI101"/>
    <x v="2"/>
    <n v="2"/>
    <n v="600"/>
    <x v="0"/>
    <s v="Norte"/>
    <s v="Regular"/>
    <n v="600"/>
  </r>
  <r>
    <x v="29"/>
    <s v="CLI102"/>
    <x v="1"/>
    <n v="5"/>
    <n v="750"/>
    <x v="1"/>
    <s v="Sur"/>
    <s v="Minorista"/>
    <n v="750"/>
  </r>
  <r>
    <x v="29"/>
    <s v="CLI106"/>
    <x v="2"/>
    <n v="2"/>
    <n v="600"/>
    <x v="0"/>
    <s v="Norte"/>
    <s v="Premium"/>
    <n v="600"/>
  </r>
  <r>
    <x v="30"/>
    <s v="CLI107"/>
    <x v="3"/>
    <n v="1"/>
    <n v="80"/>
    <x v="2"/>
    <s v="Este"/>
    <s v="Minorista"/>
    <n v="80"/>
  </r>
  <r>
    <x v="31"/>
    <s v="CLI101"/>
    <x v="3"/>
    <n v="3"/>
    <n v="240"/>
    <x v="2"/>
    <s v="Este"/>
    <s v="Regular"/>
    <n v="2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D86A5B-AD13-4D5F-85DC-E64BB6F0F303}" name="TablaCombinada" cacheId="1869" applyNumberFormats="0" applyBorderFormats="0" applyFontFormats="0" applyPatternFormats="0" applyAlignmentFormats="0" applyWidthHeightFormats="1" dataCaption="Valores" updatedVersion="8" minRefreshableVersion="5" useAutoFormatting="1" subtotalHiddenItems="1" itemPrintTitles="1" createdVersion="8" indent="0" outline="1" outlineData="1" multipleFieldFilters="0" chartFormat="25" rowHeaderCaption="Tabla combinada">
  <location ref="Q3:S10" firstHeaderRow="0" firstDataRow="1"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2">
    <i>
      <x/>
    </i>
    <i i="1">
      <x v="1"/>
    </i>
  </colItems>
  <dataFields count="2">
    <dataField name="Suma de Monto_Total" fld="1" baseField="0" baseItem="0" numFmtId="166"/>
    <dataField name="Suma de Cantidad" fld="2" baseField="0" baseItem="0"/>
  </dataFields>
  <formats count="1">
    <format dxfId="62">
      <pivotArea outline="0" collapsedLevelsAreSubtotals="1" fieldPosition="0">
        <references count="1">
          <reference field="4294967294" count="1" selected="0">
            <x v="0"/>
          </reference>
        </references>
      </pivotArea>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Hierarchies count="2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PELLIDO_NOMBRE_TPI - copia.xlsx!Tabla1">
        <x15:activeTabTopLevelEntity name="[Tabla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08EB11-D84C-4815-BEAC-106E81698E96}" name="TendenciaMensual" cacheId="1860" applyNumberFormats="0" applyBorderFormats="0" applyFontFormats="0" applyPatternFormats="0" applyAlignmentFormats="0" applyWidthHeightFormats="1" dataCaption="Valores" updatedVersion="8" minRefreshableVersion="5" useAutoFormatting="1" subtotalHiddenItems="1" itemPrintTitles="1" createdVersion="8" indent="0" outline="1" outlineData="1" multipleFieldFilters="0" chartFormat="14" rowHeaderCaption="Tendencia Mensual">
  <location ref="H3:I10" firstHeaderRow="1" firstDataRow="1" firstDataCol="1"/>
  <pivotFields count="3">
    <pivotField axis="axisRow" allDrilled="1" subtotalTop="0" showAll="0" dataSourceSort="1" defaultSubtotal="0">
      <items count="6">
        <item x="0" e="0"/>
        <item x="1" e="0"/>
        <item x="2" e="0"/>
        <item x="3" e="0"/>
        <item x="4" e="0"/>
        <item x="5" e="0"/>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a de Monto_Total" fld="1" baseField="0" baseItem="0"/>
  </dataFields>
  <formats count="2">
    <format dxfId="70">
      <pivotArea collapsedLevelsAreSubtotals="1" fieldPosition="0">
        <references count="1">
          <reference field="0" count="0"/>
        </references>
      </pivotArea>
    </format>
    <format dxfId="71">
      <pivotArea grandRow="1" outline="0" collapsedLevelsAreSubtotals="1" fieldPosition="0"/>
    </format>
  </formats>
  <chartFormats count="1">
    <chartFormat chart="2" format="1"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PELLIDO_NOMBRE_TPI - copia.xlsx!Tabla1">
        <x15:activeTabTopLevelEntity name="[Tabla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7203A1-94A5-47F4-A10C-448EA43C81EF}" name="TopProductos" cacheId="1866" applyNumberFormats="0" applyBorderFormats="0" applyFontFormats="0" applyPatternFormats="0" applyAlignmentFormats="0" applyWidthHeightFormats="1" dataCaption="Valores" updatedVersion="8" minRefreshableVersion="5" useAutoFormatting="1" subtotalHiddenItems="1" itemPrintTitles="1" createdVersion="8" indent="0" outline="1" outlineData="1" multipleFieldFilters="0" chartFormat="14" rowHeaderCaption="Top Productos">
  <location ref="K3:L9"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v="3"/>
    </i>
    <i>
      <x/>
    </i>
    <i>
      <x v="2"/>
    </i>
    <i>
      <x v="1"/>
    </i>
    <i t="grand">
      <x/>
    </i>
  </rowItems>
  <colItems count="1">
    <i/>
  </colItems>
  <dataFields count="1">
    <dataField name="Suma de Monto_Total" fld="1" baseField="0" baseItem="0"/>
  </dataFields>
  <formats count="2">
    <format dxfId="68">
      <pivotArea collapsedLevelsAreSubtotals="1" fieldPosition="0">
        <references count="1">
          <reference field="0" count="0"/>
        </references>
      </pivotArea>
    </format>
    <format dxfId="60">
      <pivotArea grandRow="1" outline="0" collapsedLevelsAreSubtotals="1" fieldPosition="0"/>
    </format>
  </formats>
  <chartFormats count="6">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3" format="4">
      <pivotArea type="data" outline="0" fieldPosition="0">
        <references count="2">
          <reference field="4294967294" count="1" selected="0">
            <x v="0"/>
          </reference>
          <reference field="0" count="1" selected="0">
            <x v="0"/>
          </reference>
        </references>
      </pivotArea>
    </chartFormat>
    <chartFormat chart="3" format="5">
      <pivotArea type="data" outline="0" fieldPosition="0">
        <references count="2">
          <reference field="4294967294" count="1" selected="0">
            <x v="0"/>
          </reference>
          <reference field="0" count="1" selected="0">
            <x v="3"/>
          </reference>
        </references>
      </pivotArea>
    </chartFormat>
    <chartFormat chart="3" format="6">
      <pivotArea type="data" outline="0" fieldPosition="0">
        <references count="2">
          <reference field="4294967294" count="1" selected="0">
            <x v="0"/>
          </reference>
          <reference field="0" count="1" selected="0">
            <x v="4"/>
          </reference>
        </references>
      </pivotArea>
    </chartFormat>
  </chartFormats>
  <pivotHierarchies count="2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1]"/>
        <x15:activeTabTopLevelEntity name="[Tabl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16897B-7D19-4056-88A4-01157E949107}" name="ParticipacionPorCategoria" cacheId="1863" applyNumberFormats="0" applyBorderFormats="0" applyFontFormats="0" applyPatternFormats="0" applyAlignmentFormats="0" applyWidthHeightFormats="1" dataCaption="Valores" updatedVersion="8" minRefreshableVersion="5" useAutoFormatting="1" subtotalHiddenItems="1" itemPrintTitles="1" createdVersion="8" indent="0" outline="1" outlineData="1" multipleFieldFilters="0" chartFormat="22" rowHeaderCaption="Categorias">
  <location ref="N3:O7" firstHeaderRow="1" firstDataRow="1" firstDataCol="1"/>
  <pivotFields count="3">
    <pivotField axis="axisRow" allDrilled="1" subtotalTop="0" showAll="0" sortType="descending" defaultSubtotal="0" defaultAttributeDrillState="1">
      <items count="4">
        <item s="1" x="0"/>
        <item s="1" x="1"/>
        <item s="1"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2"/>
    </i>
    <i>
      <x/>
    </i>
    <i>
      <x v="1"/>
    </i>
    <i t="grand">
      <x/>
    </i>
  </rowItems>
  <colItems count="1">
    <i/>
  </colItems>
  <dataFields count="1">
    <dataField name="Suma de Monto_Total" fld="1" baseField="0" baseItem="0"/>
  </dataFields>
  <formats count="2">
    <format dxfId="69">
      <pivotArea collapsedLevelsAreSubtotals="1" fieldPosition="0">
        <references count="1">
          <reference field="0" count="0"/>
        </references>
      </pivotArea>
    </format>
    <format dxfId="61">
      <pivotArea grandRow="1"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3"/>
          </reference>
        </references>
      </pivotArea>
    </chartFormat>
  </chartFormats>
  <pivotHierarchies count="2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1]"/>
        <x15:activeTabTopLevelEntity name="[Tabl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616AA80-3CFB-446F-A8A6-BC9AF09F43AE}" name="SemaforosVendedroes" cacheId="26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Semaforo vendedor">
  <location ref="E3:F7" firstHeaderRow="1" firstDataRow="1" firstDataCol="1"/>
  <pivotFields count="15">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dataField="1" showAll="0"/>
    <pivotField axis="axisRow" showAll="0">
      <items count="4">
        <item x="1"/>
        <item x="0"/>
        <item x="2"/>
        <item t="default"/>
      </items>
    </pivotField>
    <pivotField showAll="0"/>
    <pivotField showAll="0"/>
    <pivotField showAll="0"/>
    <pivotField showAll="0" defaultSubtotal="0"/>
    <pivotField showAll="0" defaultSubtotal="0">
      <items count="6">
        <item x="0"/>
        <item x="1"/>
        <item x="2"/>
        <item x="3"/>
        <item x="4"/>
        <item x="5"/>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5"/>
  </rowFields>
  <rowItems count="4">
    <i>
      <x/>
    </i>
    <i>
      <x v="1"/>
    </i>
    <i>
      <x v="2"/>
    </i>
    <i t="grand">
      <x/>
    </i>
  </rowItems>
  <colItems count="1">
    <i/>
  </colItems>
  <dataFields count="1">
    <dataField name="Suma de Monto_Total" fld="4" baseField="5" baseItem="0" numFmtId="166"/>
  </dataFields>
  <formats count="1">
    <format dxfId="72">
      <pivotArea outline="0" collapsedLevelsAreSubtotals="1" fieldPosition="0"/>
    </format>
  </formats>
  <conditionalFormats count="1">
    <conditionalFormat scope="field" priority="1">
      <pivotAreas count="1">
        <pivotArea outline="0" collapsedLevelsAreSubtotals="1" fieldPosition="0">
          <references count="2">
            <reference field="4294967294" count="1" selected="0">
              <x v="0"/>
            </reference>
            <reference field="5"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A451DB0-5E13-4156-886E-BD034390261C}" name="TrimestreVentas" cacheId="26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Fechas por Trimestres">
  <location ref="A3:C12" firstHeaderRow="0" firstDataRow="1" firstDataCol="1"/>
  <pivotFields count="15">
    <pivotField numFmtId="14"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items count="8">
        <item x="0"/>
        <item x="2"/>
        <item x="1"/>
        <item x="4"/>
        <item x="3"/>
        <item x="5"/>
        <item x="6"/>
        <item t="default"/>
      </items>
    </pivotField>
    <pivotField showAll="0"/>
    <pivotField dataField="1"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s>
  <rowFields count="2">
    <field x="10"/>
    <field x="9"/>
  </rowFields>
  <rowItems count="9">
    <i>
      <x v="1"/>
    </i>
    <i r="1">
      <x v="1"/>
    </i>
    <i r="1">
      <x v="2"/>
    </i>
    <i r="1">
      <x v="3"/>
    </i>
    <i>
      <x v="2"/>
    </i>
    <i r="1">
      <x v="4"/>
    </i>
    <i r="1">
      <x v="5"/>
    </i>
    <i r="1">
      <x v="6"/>
    </i>
    <i t="grand">
      <x/>
    </i>
  </rowItems>
  <colFields count="1">
    <field x="-2"/>
  </colFields>
  <colItems count="2">
    <i>
      <x/>
    </i>
    <i i="1">
      <x v="1"/>
    </i>
  </colItems>
  <dataFields count="2">
    <dataField name="Suma de Monto_Total" fld="4" baseField="9" baseItem="1" numFmtId="166"/>
    <dataField name="Suma de Comision_vendedor" fld="13" baseField="0" baseItem="0" numFmtId="166"/>
  </dataFields>
  <formats count="2">
    <format dxfId="64">
      <pivotArea outline="0" collapsedLevelsAreSubtotals="1" fieldPosition="0">
        <references count="1">
          <reference field="4294967294" count="1" selected="0">
            <x v="0"/>
          </reference>
        </references>
      </pivotArea>
    </format>
    <format dxfId="63">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D_Producto" xr10:uid="{86DA5AC9-2A50-4238-9B5E-B9D1CFAEF413}" sourceName="ID_Producto">
  <pivotTables>
    <pivotTable tabId="4" name="TrimestreVentas"/>
  </pivotTables>
  <data>
    <tabular pivotCacheId="520330772">
      <items count="7">
        <i x="0" s="1"/>
        <i x="2" s="1"/>
        <i x="1" s="1"/>
        <i x="4" s="1"/>
        <i x="3"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Vendedor" xr10:uid="{8C1787FE-F013-4CE4-8C28-5854EBCD30A0}" sourceName="[Tabla1].[Vendedor]">
  <pivotTables>
    <pivotTable tabId="4" name="TendenciaMensual"/>
    <pivotTable tabId="4" name="ParticipacionPorCategoria"/>
    <pivotTable tabId="4" name="TopProductos"/>
    <pivotTable tabId="4" name="TablaCombinada"/>
  </pivotTables>
  <data>
    <olap pivotCacheId="1972225613">
      <levels count="2">
        <level uniqueName="[Tabla1].[Vendedor].[(All)]" sourceCaption="(All)" count="0"/>
        <level uniqueName="[Tabla1].[Vendedor].[Vendedor]" sourceCaption="Vendedor" count="3">
          <ranges>
            <range startItem="0">
              <i n="[Tabla1].[Vendedor].&amp;[Ana]" c="Ana"/>
              <i n="[Tabla1].[Vendedor].&amp;[Carlos]" c="Carlos"/>
              <i n="[Tabla1].[Vendedor].&amp;[Marta]" c="Marta"/>
            </range>
          </ranges>
        </level>
      </levels>
      <selections count="1">
        <selection n="[Tabla1].[Vended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D9E056B7-591B-4F0D-8B3F-3FB46B48E967}" cache="SegmentaciónDeDatos_ID_Producto" caption="ID_Producto"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edor" xr10:uid="{EFF235A0-AA4D-4837-AF1E-1048E1DB5619}" cache="SegmentaciónDeDatos_Vendedor" caption="Vendedor" level="1" style="SlicerStyleOther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E30168-0952-4E40-8B57-3CD9B7DF0863}" name="Tabla1" displayName="Tabla1" ref="A1:I35" totalsRowShown="0" headerRowDxfId="50" dataDxfId="49">
  <autoFilter ref="A1:I35" xr:uid="{39E30168-0952-4E40-8B57-3CD9B7DF0863}"/>
  <tableColumns count="9">
    <tableColumn id="1" xr3:uid="{07829259-2380-4492-A5A3-1B757C67FDC3}" name="Fecha" dataDxfId="59"/>
    <tableColumn id="2" xr3:uid="{BC043A22-19DA-42C4-9BD4-FF51BB5CCA5D}" name="ID_Cliente" dataDxfId="58"/>
    <tableColumn id="3" xr3:uid="{925D0C1D-DB2E-4D8A-943A-A4189B8A865B}" name="ID_Producto" dataDxfId="57"/>
    <tableColumn id="4" xr3:uid="{714CB88F-FD0C-4910-A28A-4F5559617858}" name="Cantidad" dataDxfId="56"/>
    <tableColumn id="5" xr3:uid="{A5FD5540-61B8-49B6-992C-DFF1D601D619}" name="Monto_Total" dataDxfId="55">
      <calculatedColumnFormula>IFERROR(_xlfn.XLOOKUP(C2,Maestro_Productos!A:A,Maestro_Productos!D:D)*D2,0)</calculatedColumnFormula>
    </tableColumn>
    <tableColumn id="6" xr3:uid="{ADDFC65C-30C0-4F9C-8DFB-C9D74305D106}" name="Vendedor" dataDxfId="54"/>
    <tableColumn id="7" xr3:uid="{613BC6AC-D61C-49A1-9217-A75EAE71B2D1}" name="Región" dataDxfId="53"/>
    <tableColumn id="8" xr3:uid="{13A4598E-933C-484B-9079-D0DF14AEA2F0}" name="Categoria_de_clientes" dataDxfId="52">
      <calculatedColumnFormula array="1">_xlfn.IFS(SUMIF($B:$B,B2,$E:$E)&gt;10000,"Premium",SUMIF($B:$B,B2,$E:$E)&gt;=5000,"Regular",TRUE,"Minorista")</calculatedColumnFormula>
    </tableColumn>
    <tableColumn id="9" xr3:uid="{BA4C3B41-1AC0-4FF3-8BE1-B6E135ACA925}" name="Revisar_validacion" dataDxfId="51">
      <calculatedColumnFormula>IFERROR(_xlfn.XLOOKUP(C2,Maestro_Productos!A:A,Maestro_Productos!D:D)*D2,"Revisar Catalogo")</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1FB93B-E7F8-40F1-BE56-1B729D4924AA}" name="Tabla2" displayName="Tabla2" ref="A1:D7" totalsRowShown="0">
  <autoFilter ref="A1:D7" xr:uid="{221FB93B-E7F8-40F1-BE56-1B729D4924AA}"/>
  <tableColumns count="4">
    <tableColumn id="1" xr3:uid="{CBFA47EC-296A-4038-A850-7CDFD25BAF5B}" name="ID_Producto"/>
    <tableColumn id="2" xr3:uid="{8A93087F-7795-49B9-B6EC-D8872AC9C057}" name="Producto"/>
    <tableColumn id="3" xr3:uid="{CB0E2331-BC25-4218-AED0-F488F299D5B4}" name="Categoria"/>
    <tableColumn id="4" xr3:uid="{04E2FAFF-36B1-4971-A389-ACAB7C8F5656}" name="Precio_Unitari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Fecha" xr10:uid="{9316F24F-B06B-465E-8335-4B445B4DD6F7}" sourceName="[Tabla1].[Fecha]">
  <pivotTables>
    <pivotTable tabId="4" name="TendenciaMensual"/>
    <pivotTable tabId="4" name="ParticipacionPorCategoria"/>
    <pivotTable tabId="4" name="TopProductos"/>
    <pivotTable tabId="4" name="TablaCombinada"/>
  </pivotTables>
  <state minimalRefreshVersion="6" lastRefreshVersion="6" pivotCacheId="1656090311"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5B573144-DC32-4F39-BF00-0514CDEEB5CE}" cache="Timeline_Fecha" caption="Fecha" level="2" selectionLevel="2" scrollPosition="2026-01-01T00:00:00" style="TimeSlicerStyleLight4"/>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437FC-5824-487C-A614-4F9707038CA7}">
  <sheetPr codeName="Hoja1"/>
  <dimension ref="A1:K35"/>
  <sheetViews>
    <sheetView zoomScaleNormal="100" workbookViewId="0">
      <selection activeCell="N32" sqref="N32"/>
    </sheetView>
  </sheetViews>
  <sheetFormatPr baseColWidth="10" defaultRowHeight="14.4" x14ac:dyDescent="0.3"/>
  <cols>
    <col min="1" max="1" width="11.5546875" style="3"/>
    <col min="3" max="3" width="13" customWidth="1"/>
    <col min="5" max="5" width="12.88671875" customWidth="1"/>
    <col min="8" max="8" width="21.21875" customWidth="1"/>
    <col min="9" max="9" width="15.21875" customWidth="1"/>
  </cols>
  <sheetData>
    <row r="1" spans="1:11" x14ac:dyDescent="0.3">
      <c r="A1" s="10" t="s">
        <v>0</v>
      </c>
      <c r="B1" s="10" t="s">
        <v>57</v>
      </c>
      <c r="C1" s="10" t="s">
        <v>40</v>
      </c>
      <c r="D1" s="10" t="s">
        <v>58</v>
      </c>
      <c r="E1" s="13" t="s">
        <v>59</v>
      </c>
      <c r="F1" s="10" t="s">
        <v>1</v>
      </c>
      <c r="G1" s="10" t="s">
        <v>2</v>
      </c>
      <c r="H1" s="10" t="s">
        <v>97</v>
      </c>
      <c r="I1" s="10" t="s">
        <v>111</v>
      </c>
      <c r="J1" t="s">
        <v>96</v>
      </c>
    </row>
    <row r="2" spans="1:11" x14ac:dyDescent="0.3">
      <c r="A2" s="11">
        <v>46037</v>
      </c>
      <c r="B2" s="10" t="s">
        <v>60</v>
      </c>
      <c r="C2" s="10" t="s">
        <v>41</v>
      </c>
      <c r="D2" s="10">
        <v>1</v>
      </c>
      <c r="E2" s="12">
        <f>IFERROR(_xlfn.XLOOKUP(C2,Maestro_Productos!A:A,Maestro_Productos!D:D)*D2,0)</f>
        <v>1200</v>
      </c>
      <c r="F2" s="10" t="s">
        <v>61</v>
      </c>
      <c r="G2" s="10" t="s">
        <v>5</v>
      </c>
      <c r="H2" s="10" t="str" cm="1">
        <f t="array" ref="H2">_xlfn.IFS(SUMIF($B:$B,B2,$E:$E)&gt;10000,"Premium",SUMIF($B:$B,B2,$E:$E)&gt;=5000,"Regular",TRUE,"Minorista")</f>
        <v>Regular</v>
      </c>
      <c r="I2" s="10">
        <f>IFERROR(_xlfn.XLOOKUP(C2,Maestro_Productos!A:A,Maestro_Productos!D:D)*D2,"Revisar Catalogo")</f>
        <v>1200</v>
      </c>
      <c r="J2" t="s">
        <v>87</v>
      </c>
    </row>
    <row r="3" spans="1:11" x14ac:dyDescent="0.3">
      <c r="A3" s="11">
        <v>46041</v>
      </c>
      <c r="B3" s="10" t="s">
        <v>62</v>
      </c>
      <c r="C3" s="10" t="s">
        <v>45</v>
      </c>
      <c r="D3" s="10">
        <v>2</v>
      </c>
      <c r="E3" s="12">
        <f>IFERROR(_xlfn.XLOOKUP(C3,Maestro_Productos!A:A,Maestro_Productos!D:D)*D3,0)</f>
        <v>300</v>
      </c>
      <c r="F3" s="10" t="s">
        <v>63</v>
      </c>
      <c r="G3" s="10" t="s">
        <v>7</v>
      </c>
      <c r="H3" s="10" t="str" cm="1">
        <f t="array" ref="H3">_xlfn.IFS(SUMIF($B:$B,B3,$E:$E)&gt;10000,"Premium",SUMIF($B:$B,B3,$E:$E)&gt;=5000,"Regular",TRUE,"Minorista")</f>
        <v>Minorista</v>
      </c>
      <c r="I3" s="10">
        <f>IFERROR(_xlfn.XLOOKUP(C3,Maestro_Productos!A:A,Maestro_Productos!D:D)*D3,"Revisar Catalogo")</f>
        <v>300</v>
      </c>
      <c r="J3" t="s">
        <v>88</v>
      </c>
    </row>
    <row r="4" spans="1:11" x14ac:dyDescent="0.3">
      <c r="A4" s="11">
        <v>46058</v>
      </c>
      <c r="B4" s="10" t="s">
        <v>64</v>
      </c>
      <c r="C4" s="10" t="s">
        <v>43</v>
      </c>
      <c r="D4" s="10">
        <v>1</v>
      </c>
      <c r="E4" s="12">
        <f>IFERROR(_xlfn.XLOOKUP(C4,Maestro_Productos!A:A,Maestro_Productos!D:D)*D4,0)</f>
        <v>300</v>
      </c>
      <c r="F4" s="10" t="s">
        <v>61</v>
      </c>
      <c r="G4" s="10" t="s">
        <v>5</v>
      </c>
      <c r="H4" s="10" t="str" cm="1">
        <f t="array" ref="H4">_xlfn.IFS(SUMIF($B:$B,B4,$E:$E)&gt;10000,"Premium",SUMIF($B:$B,B4,$E:$E)&gt;=5000,"Regular",TRUE,"Minorista")</f>
        <v>Minorista</v>
      </c>
      <c r="I4" s="10">
        <f>IFERROR(_xlfn.XLOOKUP(C4,Maestro_Productos!A:A,Maestro_Productos!D:D)*D4,"Revisar Catalogo")</f>
        <v>300</v>
      </c>
      <c r="J4" t="s">
        <v>95</v>
      </c>
    </row>
    <row r="5" spans="1:11" x14ac:dyDescent="0.3">
      <c r="A5" s="11">
        <v>46065</v>
      </c>
      <c r="B5" s="10" t="s">
        <v>60</v>
      </c>
      <c r="C5" s="10" t="s">
        <v>43</v>
      </c>
      <c r="D5" s="10">
        <v>1</v>
      </c>
      <c r="E5" s="12">
        <f>IFERROR(_xlfn.XLOOKUP(C5,Maestro_Productos!A:A,Maestro_Productos!D:D)*D5,0)</f>
        <v>300</v>
      </c>
      <c r="F5" s="10" t="s">
        <v>66</v>
      </c>
      <c r="G5" s="10" t="s">
        <v>6</v>
      </c>
      <c r="H5" s="10" t="str" cm="1">
        <f t="array" ref="H5">_xlfn.IFS(SUMIF($B:$B,B5,$E:$E)&gt;10000,"Premium",SUMIF($B:$B,B5,$E:$E)&gt;=5000,"Regular",TRUE,"Minorista")</f>
        <v>Regular</v>
      </c>
      <c r="I5" s="10">
        <f>IFERROR(_xlfn.XLOOKUP(C5,Maestro_Productos!A:A,Maestro_Productos!D:D)*D5,"Revisar Catalogo")</f>
        <v>300</v>
      </c>
    </row>
    <row r="6" spans="1:11" x14ac:dyDescent="0.3">
      <c r="A6" s="11">
        <v>46075</v>
      </c>
      <c r="B6" s="10" t="s">
        <v>67</v>
      </c>
      <c r="C6" s="10" t="s">
        <v>52</v>
      </c>
      <c r="D6" s="10">
        <v>10</v>
      </c>
      <c r="E6" s="12">
        <f>IFERROR(_xlfn.XLOOKUP(C6,Maestro_Productos!A:A,Maestro_Productos!D:D)*D6,0)</f>
        <v>800</v>
      </c>
      <c r="F6" s="10" t="s">
        <v>63</v>
      </c>
      <c r="G6" s="10" t="s">
        <v>7</v>
      </c>
      <c r="H6" s="10" t="str" cm="1">
        <f t="array" ref="H6">_xlfn.IFS(SUMIF($B:$B,B6,$E:$E)&gt;10000,"Premium",SUMIF($B:$B,B6,$E:$E)&gt;=5000,"Regular",TRUE,"Minorista")</f>
        <v>Minorista</v>
      </c>
      <c r="I6" s="10">
        <f>IFERROR(_xlfn.XLOOKUP(C6,Maestro_Productos!A:A,Maestro_Productos!D:D)*D6,"Revisar Catalogo")</f>
        <v>800</v>
      </c>
      <c r="J6" s="1" t="s">
        <v>74</v>
      </c>
    </row>
    <row r="7" spans="1:11" x14ac:dyDescent="0.3">
      <c r="A7" s="11">
        <v>46084</v>
      </c>
      <c r="B7" s="10" t="s">
        <v>68</v>
      </c>
      <c r="C7" s="10" t="s">
        <v>47</v>
      </c>
      <c r="D7" s="10">
        <v>1</v>
      </c>
      <c r="E7" s="12">
        <f>IFERROR(_xlfn.XLOOKUP(C7,Maestro_Productos!A:A,Maestro_Productos!D:D)*D7,0)</f>
        <v>250</v>
      </c>
      <c r="F7" s="10" t="s">
        <v>66</v>
      </c>
      <c r="G7" s="10" t="s">
        <v>6</v>
      </c>
      <c r="H7" s="10" t="str" cm="1">
        <f t="array" ref="H7">_xlfn.IFS(SUMIF($B:$B,B7,$E:$E)&gt;10000,"Premium",SUMIF($B:$B,B7,$E:$E)&gt;=5000,"Regular",TRUE,"Minorista")</f>
        <v>Minorista</v>
      </c>
      <c r="I7" s="10">
        <f>IFERROR(_xlfn.XLOOKUP(C7,Maestro_Productos!A:A,Maestro_Productos!D:D)*D7,"Revisar Catalogo")</f>
        <v>250</v>
      </c>
      <c r="J7" s="4"/>
      <c r="K7" t="s">
        <v>71</v>
      </c>
    </row>
    <row r="8" spans="1:11" x14ac:dyDescent="0.3">
      <c r="A8" s="11">
        <v>46095</v>
      </c>
      <c r="B8" s="10" t="s">
        <v>62</v>
      </c>
      <c r="C8" s="10" t="s">
        <v>45</v>
      </c>
      <c r="D8" s="10">
        <v>-1</v>
      </c>
      <c r="E8" s="12">
        <f>IFERROR(_xlfn.XLOOKUP(C8,Maestro_Productos!A:A,Maestro_Productos!D:D)*D8,0)</f>
        <v>-150</v>
      </c>
      <c r="F8" s="10" t="s">
        <v>63</v>
      </c>
      <c r="G8" s="10" t="s">
        <v>7</v>
      </c>
      <c r="H8" s="10" t="str" cm="1">
        <f t="array" ref="H8">_xlfn.IFS(SUMIF($B:$B,B8,$E:$E)&gt;10000,"Premium",SUMIF($B:$B,B8,$E:$E)&gt;=5000,"Regular",TRUE,"Minorista")</f>
        <v>Minorista</v>
      </c>
      <c r="I8" s="10">
        <f>IFERROR(_xlfn.XLOOKUP(C8,Maestro_Productos!A:A,Maestro_Productos!D:D)*D8,"Revisar Catalogo")</f>
        <v>-150</v>
      </c>
      <c r="J8" s="4"/>
      <c r="K8" t="s">
        <v>72</v>
      </c>
    </row>
    <row r="9" spans="1:11" x14ac:dyDescent="0.3">
      <c r="A9" s="11">
        <v>46101</v>
      </c>
      <c r="B9" s="10" t="s">
        <v>69</v>
      </c>
      <c r="C9" s="10" t="s">
        <v>41</v>
      </c>
      <c r="D9" s="10">
        <v>3</v>
      </c>
      <c r="E9" s="12">
        <f>IFERROR(_xlfn.XLOOKUP(C9,Maestro_Productos!A:A,Maestro_Productos!D:D)*D9,0)</f>
        <v>3600</v>
      </c>
      <c r="F9" s="10" t="s">
        <v>61</v>
      </c>
      <c r="G9" s="10" t="s">
        <v>5</v>
      </c>
      <c r="H9" s="10" t="str" cm="1">
        <f t="array" ref="H9">_xlfn.IFS(SUMIF($B:$B,B9,$E:$E)&gt;10000,"Premium",SUMIF($B:$B,B9,$E:$E)&gt;=5000,"Regular",TRUE,"Minorista")</f>
        <v>Premium</v>
      </c>
      <c r="I9" s="10">
        <f>IFERROR(_xlfn.XLOOKUP(C9,Maestro_Productos!A:A,Maestro_Productos!D:D)*D9,"Revisar Catalogo")</f>
        <v>3600</v>
      </c>
      <c r="J9" s="4"/>
      <c r="K9" t="s">
        <v>73</v>
      </c>
    </row>
    <row r="10" spans="1:11" x14ac:dyDescent="0.3">
      <c r="A10" s="11">
        <v>46116</v>
      </c>
      <c r="B10" s="10" t="s">
        <v>70</v>
      </c>
      <c r="C10" s="10" t="s">
        <v>55</v>
      </c>
      <c r="D10" s="10">
        <v>5</v>
      </c>
      <c r="E10" s="12">
        <f>IFERROR(_xlfn.XLOOKUP(C10,Maestro_Productos!A:A,Maestro_Productos!D:D)*D10,0)</f>
        <v>350</v>
      </c>
      <c r="F10" s="10" t="s">
        <v>66</v>
      </c>
      <c r="G10" s="10" t="s">
        <v>6</v>
      </c>
      <c r="H10" s="10" t="str" cm="1">
        <f t="array" ref="H10">_xlfn.IFS(SUMIF($B:$B,B10,$E:$E)&gt;10000,"Premium",SUMIF($B:$B,B10,$E:$E)&gt;=5000,"Regular",TRUE,"Minorista")</f>
        <v>Minorista</v>
      </c>
      <c r="I10" s="10">
        <f>IFERROR(_xlfn.XLOOKUP(C10,Maestro_Productos!A:A,Maestro_Productos!D:D)*D10,"Revisar Catalogo")</f>
        <v>350</v>
      </c>
      <c r="J10" s="4"/>
      <c r="K10" t="s">
        <v>91</v>
      </c>
    </row>
    <row r="11" spans="1:11" x14ac:dyDescent="0.3">
      <c r="A11" s="11">
        <v>46130</v>
      </c>
      <c r="B11" s="10" t="s">
        <v>60</v>
      </c>
      <c r="C11" s="10" t="s">
        <v>43</v>
      </c>
      <c r="D11" s="10">
        <v>2</v>
      </c>
      <c r="E11" s="12">
        <f>IFERROR(_xlfn.XLOOKUP(C11,Maestro_Productos!A:A,Maestro_Productos!D:D)*D11,0)</f>
        <v>600</v>
      </c>
      <c r="F11" s="10" t="s">
        <v>61</v>
      </c>
      <c r="G11" s="10" t="s">
        <v>5</v>
      </c>
      <c r="H11" s="10" t="str" cm="1">
        <f t="array" ref="H11">_xlfn.IFS(SUMIF($B:$B,B11,$E:$E)&gt;10000,"Premium",SUMIF($B:$B,B11,$E:$E)&gt;=5000,"Regular",TRUE,"Minorista")</f>
        <v>Regular</v>
      </c>
      <c r="I11" s="10">
        <f>IFERROR(_xlfn.XLOOKUP(C11,Maestro_Productos!A:A,Maestro_Productos!D:D)*D11,"Revisar Catalogo")</f>
        <v>600</v>
      </c>
    </row>
    <row r="12" spans="1:11" x14ac:dyDescent="0.3">
      <c r="A12" s="11">
        <v>46130</v>
      </c>
      <c r="B12" s="10" t="s">
        <v>60</v>
      </c>
      <c r="C12" s="10" t="s">
        <v>41</v>
      </c>
      <c r="D12" s="10">
        <v>1</v>
      </c>
      <c r="E12" s="12">
        <f>IFERROR(_xlfn.XLOOKUP(C12,Maestro_Productos!A:A,Maestro_Productos!D:D)*D12,0)</f>
        <v>1200</v>
      </c>
      <c r="F12" s="10" t="s">
        <v>61</v>
      </c>
      <c r="G12" s="10" t="s">
        <v>5</v>
      </c>
      <c r="H12" s="10" t="str" cm="1">
        <f t="array" ref="H12">_xlfn.IFS(SUMIF($B:$B,B12,$E:$E)&gt;10000,"Premium",SUMIF($B:$B,B12,$E:$E)&gt;=5000,"Regular",TRUE,"Minorista")</f>
        <v>Regular</v>
      </c>
      <c r="I12" s="10">
        <f>IFERROR(_xlfn.XLOOKUP(C12,Maestro_Productos!A:A,Maestro_Productos!D:D)*D12,"Revisar Catalogo")</f>
        <v>1200</v>
      </c>
      <c r="J12" s="1" t="s">
        <v>75</v>
      </c>
    </row>
    <row r="13" spans="1:11" x14ac:dyDescent="0.3">
      <c r="A13" s="11">
        <v>46131</v>
      </c>
      <c r="B13" s="10" t="s">
        <v>62</v>
      </c>
      <c r="C13" s="10" t="s">
        <v>45</v>
      </c>
      <c r="D13" s="10">
        <v>2</v>
      </c>
      <c r="E13" s="12">
        <f>IFERROR(_xlfn.XLOOKUP(C13,Maestro_Productos!A:A,Maestro_Productos!D:D)*D13,0)</f>
        <v>300</v>
      </c>
      <c r="F13" s="10" t="s">
        <v>63</v>
      </c>
      <c r="G13" s="10" t="s">
        <v>7</v>
      </c>
      <c r="H13" s="10" t="str" cm="1">
        <f t="array" ref="H13">_xlfn.IFS(SUMIF($B:$B,B13,$E:$E)&gt;10000,"Premium",SUMIF($B:$B,B13,$E:$E)&gt;=5000,"Regular",TRUE,"Minorista")</f>
        <v>Minorista</v>
      </c>
      <c r="I13" s="10">
        <f>IFERROR(_xlfn.XLOOKUP(C13,Maestro_Productos!A:A,Maestro_Productos!D:D)*D13,"Revisar Catalogo")</f>
        <v>300</v>
      </c>
      <c r="J13" s="4"/>
      <c r="K13" t="s">
        <v>76</v>
      </c>
    </row>
    <row r="14" spans="1:11" x14ac:dyDescent="0.3">
      <c r="A14" s="11">
        <v>46140</v>
      </c>
      <c r="B14" s="10" t="s">
        <v>64</v>
      </c>
      <c r="C14" s="10" t="s">
        <v>43</v>
      </c>
      <c r="D14" s="10">
        <v>1</v>
      </c>
      <c r="E14" s="12">
        <f>IFERROR(_xlfn.XLOOKUP(C14,Maestro_Productos!A:A,Maestro_Productos!D:D)*D14,0)</f>
        <v>300</v>
      </c>
      <c r="F14" s="10" t="s">
        <v>61</v>
      </c>
      <c r="G14" s="10" t="s">
        <v>5</v>
      </c>
      <c r="H14" s="10" t="str" cm="1">
        <f t="array" ref="H14">_xlfn.IFS(SUMIF($B:$B,B14,$E:$E)&gt;10000,"Premium",SUMIF($B:$B,B14,$E:$E)&gt;=5000,"Regular",TRUE,"Minorista")</f>
        <v>Minorista</v>
      </c>
      <c r="I14" s="10">
        <f>IFERROR(_xlfn.XLOOKUP(C14,Maestro_Productos!A:A,Maestro_Productos!D:D)*D14,"Revisar Catalogo")</f>
        <v>300</v>
      </c>
      <c r="J14" s="4"/>
      <c r="K14" t="s">
        <v>92</v>
      </c>
    </row>
    <row r="15" spans="1:11" x14ac:dyDescent="0.3">
      <c r="A15" s="11">
        <v>46141</v>
      </c>
      <c r="B15" s="10" t="s">
        <v>60</v>
      </c>
      <c r="C15" s="10" t="s">
        <v>65</v>
      </c>
      <c r="D15" s="10">
        <v>1</v>
      </c>
      <c r="E15" s="12">
        <f>IFERROR(_xlfn.XLOOKUP(C15,Maestro_Productos!A:A,Maestro_Productos!D:D)*D15,0)</f>
        <v>0</v>
      </c>
      <c r="F15" s="10" t="s">
        <v>66</v>
      </c>
      <c r="G15" s="10" t="s">
        <v>6</v>
      </c>
      <c r="H15" s="10" t="str" cm="1">
        <f t="array" ref="H15">_xlfn.IFS(SUMIF($B:$B,B15,$E:$E)&gt;10000,"Premium",SUMIF($B:$B,B15,$E:$E)&gt;=5000,"Regular",TRUE,"Minorista")</f>
        <v>Regular</v>
      </c>
      <c r="I15" s="10" t="str">
        <f>IFERROR(_xlfn.XLOOKUP(C15,Maestro_Productos!A:A,Maestro_Productos!D:D)*D15,"Revisar Catalogo")</f>
        <v>Revisar Catalogo</v>
      </c>
      <c r="J15" s="4"/>
      <c r="K15" t="s">
        <v>77</v>
      </c>
    </row>
    <row r="16" spans="1:11" x14ac:dyDescent="0.3">
      <c r="A16" s="11">
        <v>46142</v>
      </c>
      <c r="B16" s="10" t="s">
        <v>67</v>
      </c>
      <c r="C16" s="10" t="s">
        <v>52</v>
      </c>
      <c r="D16" s="10">
        <v>10</v>
      </c>
      <c r="E16" s="12">
        <f>IFERROR(_xlfn.XLOOKUP(C16,Maestro_Productos!A:A,Maestro_Productos!D:D)*D16,0)</f>
        <v>800</v>
      </c>
      <c r="F16" s="10" t="s">
        <v>63</v>
      </c>
      <c r="G16" s="10" t="s">
        <v>7</v>
      </c>
      <c r="H16" s="10" t="str" cm="1">
        <f t="array" ref="H16">_xlfn.IFS(SUMIF($B:$B,B16,$E:$E)&gt;10000,"Premium",SUMIF($B:$B,B16,$E:$E)&gt;=5000,"Regular",TRUE,"Minorista")</f>
        <v>Minorista</v>
      </c>
      <c r="I16" s="10">
        <f>IFERROR(_xlfn.XLOOKUP(C16,Maestro_Productos!A:A,Maestro_Productos!D:D)*D16,"Revisar Catalogo")</f>
        <v>800</v>
      </c>
      <c r="J16" s="4"/>
      <c r="K16" t="s">
        <v>93</v>
      </c>
    </row>
    <row r="17" spans="1:11" x14ac:dyDescent="0.3">
      <c r="A17" s="11">
        <v>46145</v>
      </c>
      <c r="B17" s="10" t="s">
        <v>68</v>
      </c>
      <c r="C17" s="10" t="s">
        <v>47</v>
      </c>
      <c r="D17" s="10">
        <v>1</v>
      </c>
      <c r="E17" s="12">
        <f>IFERROR(_xlfn.XLOOKUP(C17,Maestro_Productos!A:A,Maestro_Productos!D:D)*D17,0)</f>
        <v>250</v>
      </c>
      <c r="F17" s="10" t="s">
        <v>66</v>
      </c>
      <c r="G17" s="10" t="s">
        <v>6</v>
      </c>
      <c r="H17" s="10" t="str" cm="1">
        <f t="array" ref="H17">_xlfn.IFS(SUMIF($B:$B,B17,$E:$E)&gt;10000,"Premium",SUMIF($B:$B,B17,$E:$E)&gt;=5000,"Regular",TRUE,"Minorista")</f>
        <v>Minorista</v>
      </c>
      <c r="I17" s="10">
        <f>IFERROR(_xlfn.XLOOKUP(C17,Maestro_Productos!A:A,Maestro_Productos!D:D)*D17,"Revisar Catalogo")</f>
        <v>250</v>
      </c>
    </row>
    <row r="18" spans="1:11" x14ac:dyDescent="0.3">
      <c r="A18" s="11">
        <v>46148</v>
      </c>
      <c r="B18" s="10" t="s">
        <v>62</v>
      </c>
      <c r="C18" s="10" t="s">
        <v>45</v>
      </c>
      <c r="D18" s="10">
        <v>1</v>
      </c>
      <c r="E18" s="12">
        <f>IFERROR(_xlfn.XLOOKUP(C18,Maestro_Productos!A:A,Maestro_Productos!D:D)*D18,0)</f>
        <v>150</v>
      </c>
      <c r="F18" s="10" t="s">
        <v>63</v>
      </c>
      <c r="G18" s="10" t="s">
        <v>7</v>
      </c>
      <c r="H18" s="10" t="str" cm="1">
        <f t="array" ref="H18">_xlfn.IFS(SUMIF($B:$B,B18,$E:$E)&gt;10000,"Premium",SUMIF($B:$B,B18,$E:$E)&gt;=5000,"Regular",TRUE,"Minorista")</f>
        <v>Minorista</v>
      </c>
      <c r="I18" s="10">
        <f>IFERROR(_xlfn.XLOOKUP(C18,Maestro_Productos!A:A,Maestro_Productos!D:D)*D18,"Revisar Catalogo")</f>
        <v>150</v>
      </c>
      <c r="J18" s="1" t="s">
        <v>78</v>
      </c>
    </row>
    <row r="19" spans="1:11" x14ac:dyDescent="0.3">
      <c r="A19" s="11">
        <v>46149</v>
      </c>
      <c r="B19" s="10" t="s">
        <v>69</v>
      </c>
      <c r="C19" s="10" t="s">
        <v>41</v>
      </c>
      <c r="D19" s="10">
        <v>3</v>
      </c>
      <c r="E19" s="12">
        <f>IFERROR(_xlfn.XLOOKUP(C19,Maestro_Productos!A:A,Maestro_Productos!D:D)*D19,0)</f>
        <v>3600</v>
      </c>
      <c r="F19" s="10" t="s">
        <v>61</v>
      </c>
      <c r="G19" s="10" t="s">
        <v>5</v>
      </c>
      <c r="H19" s="10" t="str" cm="1">
        <f t="array" ref="H19">_xlfn.IFS(SUMIF($B:$B,B19,$E:$E)&gt;10000,"Premium",SUMIF($B:$B,B19,$E:$E)&gt;=5000,"Regular",TRUE,"Minorista")</f>
        <v>Premium</v>
      </c>
      <c r="I19" s="10">
        <f>IFERROR(_xlfn.XLOOKUP(C19,Maestro_Productos!A:A,Maestro_Productos!D:D)*D19,"Revisar Catalogo")</f>
        <v>3600</v>
      </c>
      <c r="J19" s="4"/>
      <c r="K19" t="s">
        <v>79</v>
      </c>
    </row>
    <row r="20" spans="1:11" x14ac:dyDescent="0.3">
      <c r="A20" s="11">
        <v>46151</v>
      </c>
      <c r="B20" s="10" t="s">
        <v>70</v>
      </c>
      <c r="C20" s="10" t="s">
        <v>55</v>
      </c>
      <c r="D20" s="10">
        <v>5</v>
      </c>
      <c r="E20" s="12">
        <f>IFERROR(_xlfn.XLOOKUP(C20,Maestro_Productos!A:A,Maestro_Productos!D:D)*D20,0)</f>
        <v>350</v>
      </c>
      <c r="F20" s="10" t="s">
        <v>66</v>
      </c>
      <c r="G20" s="10" t="s">
        <v>6</v>
      </c>
      <c r="H20" s="10" t="str" cm="1">
        <f t="array" ref="H20">_xlfn.IFS(SUMIF($B:$B,B20,$E:$E)&gt;10000,"Premium",SUMIF($B:$B,B20,$E:$E)&gt;=5000,"Regular",TRUE,"Minorista")</f>
        <v>Minorista</v>
      </c>
      <c r="I20" s="10">
        <f>IFERROR(_xlfn.XLOOKUP(C20,Maestro_Productos!A:A,Maestro_Productos!D:D)*D20,"Revisar Catalogo")</f>
        <v>350</v>
      </c>
      <c r="J20" s="4"/>
      <c r="K20" t="s">
        <v>85</v>
      </c>
    </row>
    <row r="21" spans="1:11" x14ac:dyDescent="0.3">
      <c r="A21" s="11">
        <v>46152</v>
      </c>
      <c r="B21" s="10" t="s">
        <v>60</v>
      </c>
      <c r="C21" s="10" t="s">
        <v>43</v>
      </c>
      <c r="D21" s="10">
        <v>2</v>
      </c>
      <c r="E21" s="12">
        <f>IFERROR(_xlfn.XLOOKUP(C21,Maestro_Productos!A:A,Maestro_Productos!D:D)*D21,0)</f>
        <v>600</v>
      </c>
      <c r="F21" s="10" t="s">
        <v>61</v>
      </c>
      <c r="G21" s="10" t="s">
        <v>5</v>
      </c>
      <c r="H21" s="10" t="str" cm="1">
        <f t="array" ref="H21">_xlfn.IFS(SUMIF($B:$B,B21,$E:$E)&gt;10000,"Premium",SUMIF($B:$B,B21,$E:$E)&gt;=5000,"Regular",TRUE,"Minorista")</f>
        <v>Regular</v>
      </c>
      <c r="I21" s="10">
        <f>IFERROR(_xlfn.XLOOKUP(C21,Maestro_Productos!A:A,Maestro_Productos!D:D)*D21,"Revisar Catalogo")</f>
        <v>600</v>
      </c>
      <c r="J21" s="4"/>
      <c r="K21" t="s">
        <v>86</v>
      </c>
    </row>
    <row r="22" spans="1:11" x14ac:dyDescent="0.3">
      <c r="A22" s="11">
        <v>46160</v>
      </c>
      <c r="B22" s="10" t="s">
        <v>60</v>
      </c>
      <c r="C22" s="10" t="s">
        <v>41</v>
      </c>
      <c r="D22" s="10">
        <v>1</v>
      </c>
      <c r="E22" s="12">
        <f>IFERROR(_xlfn.XLOOKUP(C22,Maestro_Productos!A:A,Maestro_Productos!D:D)*D22,0)</f>
        <v>1200</v>
      </c>
      <c r="F22" s="10" t="s">
        <v>61</v>
      </c>
      <c r="G22" s="10" t="s">
        <v>5</v>
      </c>
      <c r="H22" s="10" t="str" cm="1">
        <f t="array" ref="H22">_xlfn.IFS(SUMIF($B:$B,B22,$E:$E)&gt;10000,"Premium",SUMIF($B:$B,B22,$E:$E)&gt;=5000,"Regular",TRUE,"Minorista")</f>
        <v>Regular</v>
      </c>
      <c r="I22" s="10">
        <f>IFERROR(_xlfn.XLOOKUP(C22,Maestro_Productos!A:A,Maestro_Productos!D:D)*D22,"Revisar Catalogo")</f>
        <v>1200</v>
      </c>
      <c r="J22" s="4"/>
      <c r="K22" t="s">
        <v>90</v>
      </c>
    </row>
    <row r="23" spans="1:11" x14ac:dyDescent="0.3">
      <c r="A23" s="11">
        <v>46161</v>
      </c>
      <c r="B23" s="10" t="s">
        <v>62</v>
      </c>
      <c r="C23" s="10" t="s">
        <v>45</v>
      </c>
      <c r="D23" s="10">
        <v>2</v>
      </c>
      <c r="E23" s="12">
        <f>IFERROR(_xlfn.XLOOKUP(C23,Maestro_Productos!A:A,Maestro_Productos!D:D)*D23,0)</f>
        <v>300</v>
      </c>
      <c r="F23" s="10" t="s">
        <v>63</v>
      </c>
      <c r="G23" s="10" t="s">
        <v>7</v>
      </c>
      <c r="H23" s="10" t="str" cm="1">
        <f t="array" ref="H23">_xlfn.IFS(SUMIF($B:$B,B23,$E:$E)&gt;10000,"Premium",SUMIF($B:$B,B23,$E:$E)&gt;=5000,"Regular",TRUE,"Minorista")</f>
        <v>Minorista</v>
      </c>
      <c r="I23" s="10">
        <f>IFERROR(_xlfn.XLOOKUP(C23,Maestro_Productos!A:A,Maestro_Productos!D:D)*D23,"Revisar Catalogo")</f>
        <v>300</v>
      </c>
    </row>
    <row r="24" spans="1:11" x14ac:dyDescent="0.3">
      <c r="A24" s="11">
        <v>46170</v>
      </c>
      <c r="B24" s="10" t="s">
        <v>64</v>
      </c>
      <c r="C24" s="10" t="s">
        <v>43</v>
      </c>
      <c r="D24" s="10">
        <v>1</v>
      </c>
      <c r="E24" s="12">
        <f>IFERROR(_xlfn.XLOOKUP(C24,Maestro_Productos!A:A,Maestro_Productos!D:D)*D24,0)</f>
        <v>300</v>
      </c>
      <c r="F24" s="10" t="s">
        <v>61</v>
      </c>
      <c r="G24" s="10" t="s">
        <v>5</v>
      </c>
      <c r="H24" s="10" t="str" cm="1">
        <f t="array" ref="H24">_xlfn.IFS(SUMIF($B:$B,B24,$E:$E)&gt;10000,"Premium",SUMIF($B:$B,B24,$E:$E)&gt;=5000,"Regular",TRUE,"Minorista")</f>
        <v>Minorista</v>
      </c>
      <c r="I24" s="10">
        <f>IFERROR(_xlfn.XLOOKUP(C24,Maestro_Productos!A:A,Maestro_Productos!D:D)*D24,"Revisar Catalogo")</f>
        <v>300</v>
      </c>
      <c r="J24" s="1" t="s">
        <v>80</v>
      </c>
    </row>
    <row r="25" spans="1:11" x14ac:dyDescent="0.3">
      <c r="A25" s="11">
        <v>46171</v>
      </c>
      <c r="B25" s="10" t="s">
        <v>60</v>
      </c>
      <c r="C25" s="10" t="s">
        <v>43</v>
      </c>
      <c r="D25" s="10">
        <v>-2</v>
      </c>
      <c r="E25" s="12">
        <f>IFERROR(_xlfn.XLOOKUP(C25,Maestro_Productos!A:A,Maestro_Productos!D:D)*D25,0)</f>
        <v>-600</v>
      </c>
      <c r="F25" s="10" t="s">
        <v>66</v>
      </c>
      <c r="G25" s="10" t="s">
        <v>6</v>
      </c>
      <c r="H25" s="10" t="str" cm="1">
        <f t="array" ref="H25">_xlfn.IFS(SUMIF($B:$B,B25,$E:$E)&gt;10000,"Premium",SUMIF($B:$B,B25,$E:$E)&gt;=5000,"Regular",TRUE,"Minorista")</f>
        <v>Regular</v>
      </c>
      <c r="I25" s="10">
        <f>IFERROR(_xlfn.XLOOKUP(C25,Maestro_Productos!A:A,Maestro_Productos!D:D)*D25,"Revisar Catalogo")</f>
        <v>-600</v>
      </c>
      <c r="J25" s="4"/>
      <c r="K25" t="s">
        <v>81</v>
      </c>
    </row>
    <row r="26" spans="1:11" x14ac:dyDescent="0.3">
      <c r="A26" s="11">
        <v>46172</v>
      </c>
      <c r="B26" s="10" t="s">
        <v>67</v>
      </c>
      <c r="C26" s="10" t="s">
        <v>52</v>
      </c>
      <c r="D26" s="10">
        <v>10</v>
      </c>
      <c r="E26" s="12">
        <f>IFERROR(_xlfn.XLOOKUP(C26,Maestro_Productos!A:A,Maestro_Productos!D:D)*D26,0)</f>
        <v>800</v>
      </c>
      <c r="F26" s="10" t="s">
        <v>63</v>
      </c>
      <c r="G26" s="10" t="s">
        <v>7</v>
      </c>
      <c r="H26" s="10" t="str" cm="1">
        <f t="array" ref="H26">_xlfn.IFS(SUMIF($B:$B,B26,$E:$E)&gt;10000,"Premium",SUMIF($B:$B,B26,$E:$E)&gt;=5000,"Regular",TRUE,"Minorista")</f>
        <v>Minorista</v>
      </c>
      <c r="I26" s="10">
        <f>IFERROR(_xlfn.XLOOKUP(C26,Maestro_Productos!A:A,Maestro_Productos!D:D)*D26,"Revisar Catalogo")</f>
        <v>800</v>
      </c>
      <c r="J26" s="4"/>
      <c r="K26" t="s">
        <v>82</v>
      </c>
    </row>
    <row r="27" spans="1:11" x14ac:dyDescent="0.3">
      <c r="A27" s="11">
        <v>46176</v>
      </c>
      <c r="B27" s="10" t="s">
        <v>68</v>
      </c>
      <c r="C27" s="10" t="s">
        <v>47</v>
      </c>
      <c r="D27" s="10">
        <v>-1</v>
      </c>
      <c r="E27" s="12">
        <f>IFERROR(_xlfn.XLOOKUP(C27,Maestro_Productos!A:A,Maestro_Productos!D:D)*D27,0)</f>
        <v>-250</v>
      </c>
      <c r="F27" s="10" t="s">
        <v>66</v>
      </c>
      <c r="G27" s="10" t="s">
        <v>6</v>
      </c>
      <c r="H27" s="10" t="str" cm="1">
        <f t="array" ref="H27">_xlfn.IFS(SUMIF($B:$B,B27,$E:$E)&gt;10000,"Premium",SUMIF($B:$B,B27,$E:$E)&gt;=5000,"Regular",TRUE,"Minorista")</f>
        <v>Minorista</v>
      </c>
      <c r="I27" s="10">
        <f>IFERROR(_xlfn.XLOOKUP(C27,Maestro_Productos!A:A,Maestro_Productos!D:D)*D27,"Revisar Catalogo")</f>
        <v>-250</v>
      </c>
      <c r="J27" s="4"/>
      <c r="K27" t="s">
        <v>89</v>
      </c>
    </row>
    <row r="28" spans="1:11" x14ac:dyDescent="0.3">
      <c r="A28" s="11">
        <v>46179</v>
      </c>
      <c r="B28" s="10" t="s">
        <v>62</v>
      </c>
      <c r="C28" s="10" t="s">
        <v>45</v>
      </c>
      <c r="D28" s="10">
        <v>3</v>
      </c>
      <c r="E28" s="12">
        <f>IFERROR(_xlfn.XLOOKUP(C28,Maestro_Productos!A:A,Maestro_Productos!D:D)*D28,0)</f>
        <v>450</v>
      </c>
      <c r="F28" s="10" t="s">
        <v>63</v>
      </c>
      <c r="G28" s="10" t="s">
        <v>7</v>
      </c>
      <c r="H28" s="10" t="str" cm="1">
        <f t="array" ref="H28">_xlfn.IFS(SUMIF($B:$B,B28,$E:$E)&gt;10000,"Premium",SUMIF($B:$B,B28,$E:$E)&gt;=5000,"Regular",TRUE,"Minorista")</f>
        <v>Minorista</v>
      </c>
      <c r="I28" s="10">
        <f>IFERROR(_xlfn.XLOOKUP(C28,Maestro_Productos!A:A,Maestro_Productos!D:D)*D28,"Revisar Catalogo")</f>
        <v>450</v>
      </c>
      <c r="J28" s="4"/>
      <c r="K28" t="s">
        <v>94</v>
      </c>
    </row>
    <row r="29" spans="1:11" x14ac:dyDescent="0.3">
      <c r="A29" s="11">
        <v>46180</v>
      </c>
      <c r="B29" s="10" t="s">
        <v>69</v>
      </c>
      <c r="C29" s="10" t="s">
        <v>41</v>
      </c>
      <c r="D29" s="10">
        <v>3</v>
      </c>
      <c r="E29" s="12">
        <f>IFERROR(_xlfn.XLOOKUP(C29,Maestro_Productos!A:A,Maestro_Productos!D:D)*D29,0)</f>
        <v>3600</v>
      </c>
      <c r="F29" s="10" t="s">
        <v>61</v>
      </c>
      <c r="G29" s="10" t="s">
        <v>5</v>
      </c>
      <c r="H29" s="10" t="str" cm="1">
        <f t="array" ref="H29">_xlfn.IFS(SUMIF($B:$B,B29,$E:$E)&gt;10000,"Premium",SUMIF($B:$B,B29,$E:$E)&gt;=5000,"Regular",TRUE,"Minorista")</f>
        <v>Premium</v>
      </c>
      <c r="I29" s="10">
        <f>IFERROR(_xlfn.XLOOKUP(C29,Maestro_Productos!A:A,Maestro_Productos!D:D)*D29,"Revisar Catalogo")</f>
        <v>3600</v>
      </c>
      <c r="J29" s="4"/>
      <c r="K29" t="s">
        <v>83</v>
      </c>
    </row>
    <row r="30" spans="1:11" x14ac:dyDescent="0.3">
      <c r="A30" s="11">
        <v>46182</v>
      </c>
      <c r="B30" s="10" t="s">
        <v>70</v>
      </c>
      <c r="C30" s="10" t="s">
        <v>55</v>
      </c>
      <c r="D30" s="10">
        <v>5</v>
      </c>
      <c r="E30" s="12">
        <f>IFERROR(_xlfn.XLOOKUP(C30,Maestro_Productos!A:A,Maestro_Productos!D:D)*D30,0)</f>
        <v>350</v>
      </c>
      <c r="F30" s="10" t="s">
        <v>66</v>
      </c>
      <c r="G30" s="10" t="s">
        <v>6</v>
      </c>
      <c r="H30" s="10" t="str" cm="1">
        <f t="array" ref="H30">_xlfn.IFS(SUMIF($B:$B,B30,$E:$E)&gt;10000,"Premium",SUMIF($B:$B,B30,$E:$E)&gt;=5000,"Regular",TRUE,"Minorista")</f>
        <v>Minorista</v>
      </c>
      <c r="I30" s="10">
        <f>IFERROR(_xlfn.XLOOKUP(C30,Maestro_Productos!A:A,Maestro_Productos!D:D)*D30,"Revisar Catalogo")</f>
        <v>350</v>
      </c>
      <c r="J30" s="4"/>
      <c r="K30" t="s">
        <v>84</v>
      </c>
    </row>
    <row r="31" spans="1:11" x14ac:dyDescent="0.3">
      <c r="A31" s="11">
        <v>46183</v>
      </c>
      <c r="B31" s="10" t="s">
        <v>60</v>
      </c>
      <c r="C31" s="10" t="s">
        <v>43</v>
      </c>
      <c r="D31" s="10">
        <v>2</v>
      </c>
      <c r="E31" s="12">
        <f>IFERROR(_xlfn.XLOOKUP(C31,Maestro_Productos!A:A,Maestro_Productos!D:D)*D31,0)</f>
        <v>600</v>
      </c>
      <c r="F31" s="10" t="s">
        <v>61</v>
      </c>
      <c r="G31" s="10" t="s">
        <v>5</v>
      </c>
      <c r="H31" s="10" t="str" cm="1">
        <f t="array" ref="H31">_xlfn.IFS(SUMIF($B:$B,B31,$E:$E)&gt;10000,"Premium",SUMIF($B:$B,B31,$E:$E)&gt;=5000,"Regular",TRUE,"Minorista")</f>
        <v>Regular</v>
      </c>
      <c r="I31" s="10">
        <f>IFERROR(_xlfn.XLOOKUP(C31,Maestro_Productos!A:A,Maestro_Productos!D:D)*D31,"Revisar Catalogo")</f>
        <v>600</v>
      </c>
    </row>
    <row r="32" spans="1:11" x14ac:dyDescent="0.3">
      <c r="A32" s="11">
        <v>46191</v>
      </c>
      <c r="B32" s="10" t="s">
        <v>62</v>
      </c>
      <c r="C32" s="10" t="s">
        <v>45</v>
      </c>
      <c r="D32" s="10">
        <v>5</v>
      </c>
      <c r="E32" s="12">
        <f>IFERROR(_xlfn.XLOOKUP(C32,Maestro_Productos!A:A,Maestro_Productos!D:D)*D32,0)</f>
        <v>750</v>
      </c>
      <c r="F32" s="10" t="s">
        <v>63</v>
      </c>
      <c r="G32" s="10" t="s">
        <v>7</v>
      </c>
      <c r="H32" s="10" t="str" cm="1">
        <f t="array" ref="H32">_xlfn.IFS(SUMIF($B:$B,B32,$E:$E)&gt;10000,"Premium",SUMIF($B:$B,B32,$E:$E)&gt;=5000,"Regular",TRUE,"Minorista")</f>
        <v>Minorista</v>
      </c>
      <c r="I32" s="10">
        <f>IFERROR(_xlfn.XLOOKUP(C32,Maestro_Productos!A:A,Maestro_Productos!D:D)*D32,"Revisar Catalogo")</f>
        <v>750</v>
      </c>
    </row>
    <row r="33" spans="1:9" x14ac:dyDescent="0.3">
      <c r="A33" s="11">
        <v>46191</v>
      </c>
      <c r="B33" s="10" t="s">
        <v>69</v>
      </c>
      <c r="C33" s="10" t="s">
        <v>43</v>
      </c>
      <c r="D33" s="10">
        <v>2</v>
      </c>
      <c r="E33" s="12">
        <f>IFERROR(_xlfn.XLOOKUP(C33,Maestro_Productos!A:A,Maestro_Productos!D:D)*D33,0)</f>
        <v>600</v>
      </c>
      <c r="F33" s="10" t="s">
        <v>61</v>
      </c>
      <c r="G33" s="10" t="s">
        <v>5</v>
      </c>
      <c r="H33" s="10" t="str" cm="1">
        <f t="array" ref="H33">_xlfn.IFS(SUMIF($B:$B,B33,$E:$E)&gt;10000,"Premium",SUMIF($B:$B,B33,$E:$E)&gt;=5000,"Regular",TRUE,"Minorista")</f>
        <v>Premium</v>
      </c>
      <c r="I33" s="10">
        <f>IFERROR(_xlfn.XLOOKUP(C33,Maestro_Productos!A:A,Maestro_Productos!D:D)*D33,"Revisar Catalogo")</f>
        <v>600</v>
      </c>
    </row>
    <row r="34" spans="1:9" x14ac:dyDescent="0.3">
      <c r="A34" s="11">
        <v>46192</v>
      </c>
      <c r="B34" s="10" t="s">
        <v>70</v>
      </c>
      <c r="C34" s="10" t="s">
        <v>52</v>
      </c>
      <c r="D34" s="10">
        <v>1</v>
      </c>
      <c r="E34" s="12">
        <f>IFERROR(_xlfn.XLOOKUP(C34,Maestro_Productos!A:A,Maestro_Productos!D:D)*D34,0)</f>
        <v>80</v>
      </c>
      <c r="F34" s="10" t="s">
        <v>66</v>
      </c>
      <c r="G34" s="10" t="s">
        <v>6</v>
      </c>
      <c r="H34" s="10" t="str" cm="1">
        <f t="array" ref="H34">_xlfn.IFS(SUMIF($B:$B,B34,$E:$E)&gt;10000,"Premium",SUMIF($B:$B,B34,$E:$E)&gt;=5000,"Regular",TRUE,"Minorista")</f>
        <v>Minorista</v>
      </c>
      <c r="I34" s="10">
        <f>IFERROR(_xlfn.XLOOKUP(C34,Maestro_Productos!A:A,Maestro_Productos!D:D)*D34,"Revisar Catalogo")</f>
        <v>80</v>
      </c>
    </row>
    <row r="35" spans="1:9" x14ac:dyDescent="0.3">
      <c r="A35" s="11">
        <v>46201</v>
      </c>
      <c r="B35" s="10" t="s">
        <v>60</v>
      </c>
      <c r="C35" s="10" t="s">
        <v>52</v>
      </c>
      <c r="D35" s="10">
        <v>3</v>
      </c>
      <c r="E35" s="12">
        <f>IFERROR(_xlfn.XLOOKUP(C35,Maestro_Productos!A:A,Maestro_Productos!D:D)*D35,0)</f>
        <v>240</v>
      </c>
      <c r="F35" s="10" t="s">
        <v>66</v>
      </c>
      <c r="G35" s="10" t="s">
        <v>6</v>
      </c>
      <c r="H35" s="10" t="str" cm="1">
        <f t="array" ref="H35">_xlfn.IFS(SUMIF($B:$B,B35,$E:$E)&gt;10000,"Premium",SUMIF($B:$B,B35,$E:$E)&gt;=5000,"Regular",TRUE,"Minorista")</f>
        <v>Regular</v>
      </c>
      <c r="I35" s="10">
        <f>IFERROR(_xlfn.XLOOKUP(C35,Maestro_Productos!A:A,Maestro_Productos!D:D)*D35,"Revisar Catalogo")</f>
        <v>240</v>
      </c>
    </row>
  </sheetData>
  <conditionalFormatting sqref="A2:H35">
    <cfRule type="expression" dxfId="67" priority="7">
      <formula>AND($E2&lt;0,$H2="Premium")</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5" id="{59823C60-C039-4074-99EA-2E8FE7C10D8A}">
            <xm:f>ISERROR(MATCH(C2,Maestro_Productos!$A$2:$A$7,0))</xm:f>
            <x14:dxf>
              <fill>
                <patternFill>
                  <bgColor rgb="FFFF0000"/>
                </patternFill>
              </fill>
            </x14:dxf>
          </x14:cfRule>
          <xm:sqref>C2:C35</xm:sqref>
        </x14:conditionalFormatting>
        <x14:conditionalFormatting xmlns:xm="http://schemas.microsoft.com/office/excel/2006/main">
          <x14:cfRule type="expression" priority="1" id="{7D55E16F-E280-44FE-AC5D-2BE080A34144}">
            <xm:f>ISERROR(MATCH(F2,Maestro_Productos!$F$2:$F$4,0))</xm:f>
            <x14:dxf>
              <fill>
                <patternFill>
                  <bgColor rgb="FFFF0000"/>
                </patternFill>
              </fill>
            </x14:dxf>
          </x14:cfRule>
          <xm:sqref>F2:F35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B3A6F59-82AE-4531-A916-77A8B9F49D91}">
          <x14:formula1>
            <xm:f>Maestro_Productos!$A$2:$A$7</xm:f>
          </x14:formula1>
          <xm:sqref>C2:C1048576</xm:sqref>
        </x14:dataValidation>
        <x14:dataValidation type="list" allowBlank="1" showInputMessage="1" showErrorMessage="1" xr:uid="{0A1473DB-5971-41A7-A31A-545E834E09E7}">
          <x14:formula1>
            <xm:f>Maestro_Productos!$F$2:$F$4</xm:f>
          </x14:formula1>
          <xm:sqref>F2:F1048576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D22A7-B3A1-4DDE-B4C4-1B5381834651}">
  <sheetPr codeName="Hoja4"/>
  <dimension ref="A1:F7"/>
  <sheetViews>
    <sheetView zoomScaleNormal="100" workbookViewId="0">
      <selection activeCell="B2" sqref="B2"/>
    </sheetView>
  </sheetViews>
  <sheetFormatPr baseColWidth="10" defaultRowHeight="14.4" x14ac:dyDescent="0.3"/>
  <cols>
    <col min="1" max="1" width="13" customWidth="1"/>
    <col min="2" max="2" width="18.44140625" customWidth="1"/>
    <col min="4" max="4" width="15.6640625" customWidth="1"/>
  </cols>
  <sheetData>
    <row r="1" spans="1:6" x14ac:dyDescent="0.3">
      <c r="A1" t="s">
        <v>40</v>
      </c>
      <c r="B1" t="s">
        <v>3</v>
      </c>
      <c r="C1" t="s">
        <v>49</v>
      </c>
      <c r="D1" t="s">
        <v>4</v>
      </c>
      <c r="F1" t="s">
        <v>98</v>
      </c>
    </row>
    <row r="2" spans="1:6" x14ac:dyDescent="0.3">
      <c r="A2" t="s">
        <v>41</v>
      </c>
      <c r="B2" t="s">
        <v>42</v>
      </c>
      <c r="C2" t="s">
        <v>50</v>
      </c>
      <c r="D2">
        <v>1200</v>
      </c>
      <c r="F2" t="s">
        <v>61</v>
      </c>
    </row>
    <row r="3" spans="1:6" x14ac:dyDescent="0.3">
      <c r="A3" t="s">
        <v>43</v>
      </c>
      <c r="B3" t="s">
        <v>44</v>
      </c>
      <c r="C3" t="s">
        <v>50</v>
      </c>
      <c r="D3">
        <v>300</v>
      </c>
      <c r="F3" t="s">
        <v>63</v>
      </c>
    </row>
    <row r="4" spans="1:6" x14ac:dyDescent="0.3">
      <c r="A4" t="s">
        <v>45</v>
      </c>
      <c r="B4" t="s">
        <v>46</v>
      </c>
      <c r="C4" t="s">
        <v>51</v>
      </c>
      <c r="D4">
        <v>150</v>
      </c>
      <c r="F4" t="s">
        <v>66</v>
      </c>
    </row>
    <row r="5" spans="1:6" x14ac:dyDescent="0.3">
      <c r="A5" t="s">
        <v>47</v>
      </c>
      <c r="B5" t="s">
        <v>48</v>
      </c>
      <c r="C5" t="s">
        <v>51</v>
      </c>
      <c r="D5">
        <v>250</v>
      </c>
    </row>
    <row r="6" spans="1:6" x14ac:dyDescent="0.3">
      <c r="A6" t="s">
        <v>52</v>
      </c>
      <c r="B6" t="s">
        <v>53</v>
      </c>
      <c r="C6" t="s">
        <v>54</v>
      </c>
      <c r="D6">
        <v>80</v>
      </c>
    </row>
    <row r="7" spans="1:6" x14ac:dyDescent="0.3">
      <c r="A7" t="s">
        <v>55</v>
      </c>
      <c r="B7" t="s">
        <v>56</v>
      </c>
      <c r="C7" t="s">
        <v>50</v>
      </c>
      <c r="D7">
        <v>70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E9C6-A246-4350-AF94-82D66FDF15CE}">
  <sheetPr codeName="Hoja5"/>
  <dimension ref="A1:A36"/>
  <sheetViews>
    <sheetView workbookViewId="0"/>
  </sheetViews>
  <sheetFormatPr baseColWidth="10" defaultRowHeight="14.4" x14ac:dyDescent="0.3"/>
  <sheetData>
    <row r="1" spans="1:1" x14ac:dyDescent="0.3">
      <c r="A1" s="2" t="s">
        <v>39</v>
      </c>
    </row>
    <row r="2" spans="1:1" x14ac:dyDescent="0.3">
      <c r="A2" s="1" t="s">
        <v>11</v>
      </c>
    </row>
    <row r="3" spans="1:1" x14ac:dyDescent="0.3">
      <c r="A3" s="1" t="s">
        <v>12</v>
      </c>
    </row>
    <row r="4" spans="1:1" x14ac:dyDescent="0.3">
      <c r="A4" s="1" t="s">
        <v>13</v>
      </c>
    </row>
    <row r="5" spans="1:1" x14ac:dyDescent="0.3">
      <c r="A5" s="1" t="s">
        <v>20</v>
      </c>
    </row>
    <row r="6" spans="1:1" x14ac:dyDescent="0.3">
      <c r="A6" s="1" t="s">
        <v>14</v>
      </c>
    </row>
    <row r="7" spans="1:1" x14ac:dyDescent="0.3">
      <c r="A7" s="1" t="s">
        <v>15</v>
      </c>
    </row>
    <row r="8" spans="1:1" x14ac:dyDescent="0.3">
      <c r="A8" s="1" t="s">
        <v>16</v>
      </c>
    </row>
    <row r="9" spans="1:1" x14ac:dyDescent="0.3">
      <c r="A9" s="1" t="s">
        <v>17</v>
      </c>
    </row>
    <row r="10" spans="1:1" x14ac:dyDescent="0.3">
      <c r="A10" s="1" t="s">
        <v>18</v>
      </c>
    </row>
    <row r="11" spans="1:1" x14ac:dyDescent="0.3">
      <c r="A11" s="1" t="s">
        <v>8</v>
      </c>
    </row>
    <row r="12" spans="1:1" x14ac:dyDescent="0.3">
      <c r="A12" s="1" t="s">
        <v>19</v>
      </c>
    </row>
    <row r="13" spans="1:1" x14ac:dyDescent="0.3">
      <c r="A13" s="1" t="s">
        <v>9</v>
      </c>
    </row>
    <row r="14" spans="1:1" x14ac:dyDescent="0.3">
      <c r="A14" s="1" t="s">
        <v>10</v>
      </c>
    </row>
    <row r="15" spans="1:1" x14ac:dyDescent="0.3">
      <c r="A15" s="1" t="s">
        <v>25</v>
      </c>
    </row>
    <row r="16" spans="1:1" x14ac:dyDescent="0.3">
      <c r="A16" s="1" t="s">
        <v>21</v>
      </c>
    </row>
    <row r="18" spans="1:1" x14ac:dyDescent="0.3">
      <c r="A18" s="1" t="s">
        <v>22</v>
      </c>
    </row>
    <row r="19" spans="1:1" x14ac:dyDescent="0.3">
      <c r="A19" s="1" t="s">
        <v>23</v>
      </c>
    </row>
    <row r="20" spans="1:1" x14ac:dyDescent="0.3">
      <c r="A20" s="1" t="s">
        <v>24</v>
      </c>
    </row>
    <row r="21" spans="1:1" x14ac:dyDescent="0.3">
      <c r="A21" s="1" t="s">
        <v>27</v>
      </c>
    </row>
    <row r="22" spans="1:1" x14ac:dyDescent="0.3">
      <c r="A22" s="1" t="s">
        <v>26</v>
      </c>
    </row>
    <row r="23" spans="1:1" x14ac:dyDescent="0.3">
      <c r="A23" s="1" t="s">
        <v>28</v>
      </c>
    </row>
    <row r="25" spans="1:1" x14ac:dyDescent="0.3">
      <c r="A25" s="1" t="s">
        <v>29</v>
      </c>
    </row>
    <row r="26" spans="1:1" x14ac:dyDescent="0.3">
      <c r="A26" s="1" t="s">
        <v>30</v>
      </c>
    </row>
    <row r="27" spans="1:1" x14ac:dyDescent="0.3">
      <c r="A27" s="1" t="s">
        <v>31</v>
      </c>
    </row>
    <row r="28" spans="1:1" x14ac:dyDescent="0.3">
      <c r="A28" s="1" t="s">
        <v>32</v>
      </c>
    </row>
    <row r="29" spans="1:1" x14ac:dyDescent="0.3">
      <c r="A29" s="1"/>
    </row>
    <row r="30" spans="1:1" x14ac:dyDescent="0.3">
      <c r="A30" s="1" t="s">
        <v>33</v>
      </c>
    </row>
    <row r="31" spans="1:1" x14ac:dyDescent="0.3">
      <c r="A31" s="1" t="s">
        <v>34</v>
      </c>
    </row>
    <row r="32" spans="1:1" x14ac:dyDescent="0.3">
      <c r="A32" s="1" t="s">
        <v>38</v>
      </c>
    </row>
    <row r="34" spans="1:1" x14ac:dyDescent="0.3">
      <c r="A34" s="1" t="s">
        <v>35</v>
      </c>
    </row>
    <row r="35" spans="1:1" x14ac:dyDescent="0.3">
      <c r="A35" s="1" t="s">
        <v>36</v>
      </c>
    </row>
    <row r="36" spans="1:1" x14ac:dyDescent="0.3">
      <c r="A36" s="1" t="s">
        <v>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67917-52E2-4913-88BA-E86505BAE109}">
  <sheetPr codeName="Hoja2"/>
  <dimension ref="A3:S12"/>
  <sheetViews>
    <sheetView topLeftCell="C1" workbookViewId="0">
      <selection activeCell="J11" sqref="J11"/>
    </sheetView>
  </sheetViews>
  <sheetFormatPr baseColWidth="10" defaultRowHeight="14.4" x14ac:dyDescent="0.3"/>
  <cols>
    <col min="1" max="1" width="21.5546875" bestFit="1" customWidth="1"/>
    <col min="2" max="2" width="18.6640625" bestFit="1" customWidth="1"/>
    <col min="3" max="3" width="25.21875" bestFit="1" customWidth="1"/>
    <col min="4" max="4" width="12.44140625" customWidth="1"/>
    <col min="5" max="5" width="16.5546875" bestFit="1" customWidth="1"/>
    <col min="6" max="6" width="18.6640625" bestFit="1" customWidth="1"/>
    <col min="7" max="7" width="12.44140625" customWidth="1"/>
    <col min="8" max="8" width="19.109375" bestFit="1" customWidth="1"/>
    <col min="9" max="9" width="18.6640625" bestFit="1" customWidth="1"/>
    <col min="10" max="10" width="11.44140625" customWidth="1"/>
    <col min="11" max="11" width="18.33203125" bestFit="1" customWidth="1"/>
    <col min="12" max="12" width="18.6640625" bestFit="1" customWidth="1"/>
    <col min="13" max="13" width="8.44140625" customWidth="1"/>
    <col min="14" max="14" width="12.109375" bestFit="1" customWidth="1"/>
    <col min="15" max="15" width="18.6640625" bestFit="1" customWidth="1"/>
    <col min="16" max="16" width="6.44140625" customWidth="1"/>
    <col min="17" max="17" width="17.5546875" bestFit="1" customWidth="1"/>
    <col min="18" max="18" width="18.6640625" bestFit="1" customWidth="1"/>
    <col min="19" max="19" width="16.33203125" bestFit="1" customWidth="1"/>
    <col min="20" max="20" width="17.5546875" bestFit="1" customWidth="1"/>
    <col min="21" max="21" width="18.6640625" bestFit="1" customWidth="1"/>
    <col min="22" max="22" width="16.33203125" bestFit="1" customWidth="1"/>
  </cols>
  <sheetData>
    <row r="3" spans="1:19" x14ac:dyDescent="0.3">
      <c r="A3" s="6" t="s">
        <v>109</v>
      </c>
      <c r="B3" t="s">
        <v>108</v>
      </c>
      <c r="C3" t="s">
        <v>110</v>
      </c>
      <c r="E3" s="6" t="s">
        <v>114</v>
      </c>
      <c r="F3" t="s">
        <v>108</v>
      </c>
      <c r="H3" s="6" t="s">
        <v>113</v>
      </c>
      <c r="I3" t="s">
        <v>108</v>
      </c>
      <c r="K3" s="6" t="s">
        <v>115</v>
      </c>
      <c r="L3" t="s">
        <v>108</v>
      </c>
      <c r="N3" s="6" t="s">
        <v>116</v>
      </c>
      <c r="O3" t="s">
        <v>108</v>
      </c>
      <c r="Q3" s="6" t="s">
        <v>117</v>
      </c>
      <c r="R3" t="s">
        <v>108</v>
      </c>
      <c r="S3" t="s">
        <v>112</v>
      </c>
    </row>
    <row r="4" spans="1:19" x14ac:dyDescent="0.3">
      <c r="A4" s="7" t="s">
        <v>106</v>
      </c>
      <c r="B4" s="9">
        <v>6600</v>
      </c>
      <c r="C4" s="9">
        <v>330</v>
      </c>
      <c r="E4" s="7" t="s">
        <v>63</v>
      </c>
      <c r="F4" s="9">
        <v>4500</v>
      </c>
      <c r="H4" s="7" t="s">
        <v>100</v>
      </c>
      <c r="I4" s="9">
        <v>1500</v>
      </c>
      <c r="K4" s="7" t="s">
        <v>56</v>
      </c>
      <c r="L4" s="9">
        <v>1050</v>
      </c>
      <c r="N4" s="7" t="s">
        <v>50</v>
      </c>
      <c r="O4" s="9">
        <v>18450</v>
      </c>
      <c r="Q4" s="7" t="s">
        <v>100</v>
      </c>
      <c r="R4" s="9">
        <v>1500</v>
      </c>
      <c r="S4" s="5">
        <v>3</v>
      </c>
    </row>
    <row r="5" spans="1:19" x14ac:dyDescent="0.3">
      <c r="A5" s="8" t="s">
        <v>100</v>
      </c>
      <c r="B5" s="9">
        <v>1500</v>
      </c>
      <c r="C5" s="9">
        <v>75</v>
      </c>
      <c r="E5" s="7" t="s">
        <v>61</v>
      </c>
      <c r="F5" s="9">
        <v>17700</v>
      </c>
      <c r="H5" s="7" t="s">
        <v>101</v>
      </c>
      <c r="I5" s="9">
        <v>1400</v>
      </c>
      <c r="K5" s="7" t="s">
        <v>46</v>
      </c>
      <c r="L5" s="9">
        <v>2100</v>
      </c>
      <c r="N5" s="7" t="s">
        <v>54</v>
      </c>
      <c r="O5" s="9">
        <v>2720</v>
      </c>
      <c r="Q5" s="7" t="s">
        <v>101</v>
      </c>
      <c r="R5" s="9">
        <v>1400</v>
      </c>
      <c r="S5" s="5">
        <v>12</v>
      </c>
    </row>
    <row r="6" spans="1:19" x14ac:dyDescent="0.3">
      <c r="A6" s="8" t="s">
        <v>101</v>
      </c>
      <c r="B6" s="9">
        <v>1400</v>
      </c>
      <c r="C6" s="9">
        <v>70</v>
      </c>
      <c r="E6" s="7" t="s">
        <v>66</v>
      </c>
      <c r="F6" s="9">
        <v>1320</v>
      </c>
      <c r="H6" s="7" t="s">
        <v>102</v>
      </c>
      <c r="I6" s="9">
        <v>3700</v>
      </c>
      <c r="K6" s="7" t="s">
        <v>53</v>
      </c>
      <c r="L6" s="9">
        <v>2720</v>
      </c>
      <c r="N6" s="7" t="s">
        <v>51</v>
      </c>
      <c r="O6" s="9">
        <v>2350</v>
      </c>
      <c r="Q6" s="7" t="s">
        <v>102</v>
      </c>
      <c r="R6" s="9">
        <v>3700</v>
      </c>
      <c r="S6" s="5">
        <v>3</v>
      </c>
    </row>
    <row r="7" spans="1:19" x14ac:dyDescent="0.3">
      <c r="A7" s="8" t="s">
        <v>102</v>
      </c>
      <c r="B7" s="9">
        <v>3700</v>
      </c>
      <c r="C7" s="9">
        <v>185</v>
      </c>
      <c r="E7" s="7" t="s">
        <v>99</v>
      </c>
      <c r="F7" s="9">
        <v>23520</v>
      </c>
      <c r="H7" s="7" t="s">
        <v>103</v>
      </c>
      <c r="I7" s="9">
        <v>3550</v>
      </c>
      <c r="K7" s="7" t="s">
        <v>44</v>
      </c>
      <c r="L7" s="9">
        <v>3000</v>
      </c>
      <c r="N7" s="7" t="s">
        <v>99</v>
      </c>
      <c r="O7" s="9">
        <v>23520</v>
      </c>
      <c r="Q7" s="7" t="s">
        <v>103</v>
      </c>
      <c r="R7" s="9">
        <v>3550</v>
      </c>
      <c r="S7" s="5">
        <v>22</v>
      </c>
    </row>
    <row r="8" spans="1:19" x14ac:dyDescent="0.3">
      <c r="A8" s="7" t="s">
        <v>107</v>
      </c>
      <c r="B8" s="9">
        <v>16920</v>
      </c>
      <c r="C8" s="9">
        <v>846</v>
      </c>
      <c r="H8" s="7" t="s">
        <v>104</v>
      </c>
      <c r="I8" s="9">
        <v>6950</v>
      </c>
      <c r="K8" s="7" t="s">
        <v>42</v>
      </c>
      <c r="L8" s="9">
        <v>14400</v>
      </c>
      <c r="Q8" s="7" t="s">
        <v>104</v>
      </c>
      <c r="R8" s="9">
        <v>6950</v>
      </c>
      <c r="S8" s="5">
        <v>24</v>
      </c>
    </row>
    <row r="9" spans="1:19" x14ac:dyDescent="0.3">
      <c r="A9" s="8" t="s">
        <v>103</v>
      </c>
      <c r="B9" s="9">
        <v>3550</v>
      </c>
      <c r="C9" s="9">
        <v>177.5</v>
      </c>
      <c r="H9" s="7" t="s">
        <v>105</v>
      </c>
      <c r="I9" s="9">
        <v>6420</v>
      </c>
      <c r="K9" s="7" t="s">
        <v>99</v>
      </c>
      <c r="L9" s="9">
        <v>23270</v>
      </c>
      <c r="Q9" s="7" t="s">
        <v>105</v>
      </c>
      <c r="R9" s="9">
        <v>6420</v>
      </c>
      <c r="S9" s="5">
        <v>23</v>
      </c>
    </row>
    <row r="10" spans="1:19" x14ac:dyDescent="0.3">
      <c r="A10" s="8" t="s">
        <v>104</v>
      </c>
      <c r="B10" s="9">
        <v>6950</v>
      </c>
      <c r="C10" s="9">
        <v>347.5</v>
      </c>
      <c r="H10" s="7" t="s">
        <v>99</v>
      </c>
      <c r="I10" s="9">
        <v>23520</v>
      </c>
      <c r="J10" s="15">
        <f>GETPIVOTDATA("[Measures].[Suma de Monto_Total]",$H$3)</f>
        <v>23520</v>
      </c>
      <c r="Q10" s="7" t="s">
        <v>99</v>
      </c>
      <c r="R10" s="9">
        <v>23520</v>
      </c>
      <c r="S10" s="5">
        <v>87</v>
      </c>
    </row>
    <row r="11" spans="1:19" x14ac:dyDescent="0.3">
      <c r="A11" s="8" t="s">
        <v>105</v>
      </c>
      <c r="B11" s="9">
        <v>6420</v>
      </c>
      <c r="C11" s="9">
        <v>321</v>
      </c>
      <c r="J11" s="15">
        <f>J10*0.4</f>
        <v>9408</v>
      </c>
    </row>
    <row r="12" spans="1:19" x14ac:dyDescent="0.3">
      <c r="A12" s="7" t="s">
        <v>99</v>
      </c>
      <c r="B12" s="9">
        <v>23520</v>
      </c>
      <c r="C12" s="9">
        <v>1176</v>
      </c>
    </row>
  </sheetData>
  <sheetProtection algorithmName="SHA-512" hashValue="KDwSqVeNGD5gVkQCvvER8kOq5rwHIe1bNrJuBoZCNgzh6qxdWPvnX3ip3FaIq6qpHX1JrNQpkS4q6/2ZPGEaNA==" saltValue="BuO9OFIWero1fkADx/lpHA==" spinCount="100000" sheet="1" objects="1" scenarios="1" pivotTables="0"/>
  <conditionalFormatting pivot="1" sqref="F4:F6">
    <cfRule type="iconSet" priority="1">
      <iconSet>
        <cfvo type="percent" val="0"/>
        <cfvo type="num" val="500"/>
        <cfvo type="num" val="1500"/>
      </iconSet>
    </cfRule>
  </conditionalFormatting>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872E0-34DF-4811-B30B-DED9EB223A3F}">
  <sheetPr codeName="Hoja3"/>
  <dimension ref="A1:Y16"/>
  <sheetViews>
    <sheetView showGridLines="0" tabSelected="1" zoomScale="70" zoomScaleNormal="70" workbookViewId="0">
      <selection activeCell="X26" sqref="X26"/>
    </sheetView>
  </sheetViews>
  <sheetFormatPr baseColWidth="10" defaultRowHeight="14.4" x14ac:dyDescent="0.3"/>
  <cols>
    <col min="1" max="1" width="11.5546875" customWidth="1"/>
  </cols>
  <sheetData>
    <row r="1" spans="1:25" x14ac:dyDescent="0.3">
      <c r="A1" t="s">
        <v>118</v>
      </c>
    </row>
    <row r="16" spans="1:25" ht="16.8" x14ac:dyDescent="0.4">
      <c r="Y16" s="14"/>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Ventas_Brutas</vt:lpstr>
      <vt:lpstr>Maestro_Productos</vt:lpstr>
      <vt:lpstr>Funciones</vt:lpstr>
      <vt:lpstr>Tablas_dinamicas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Luciano Perdomo</dc:creator>
  <cp:lastModifiedBy>franco vera</cp:lastModifiedBy>
  <dcterms:created xsi:type="dcterms:W3CDTF">2026-07-08T15:26:50Z</dcterms:created>
  <dcterms:modified xsi:type="dcterms:W3CDTF">2026-07-28T13:40:40Z</dcterms:modified>
</cp:coreProperties>
</file>